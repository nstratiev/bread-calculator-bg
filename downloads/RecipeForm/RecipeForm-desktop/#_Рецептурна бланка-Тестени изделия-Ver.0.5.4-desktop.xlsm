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ki\Desktop\github-cloned-repos\bread-calculator-bg\downloads\RecipeForm\RecipeForm-desktop\"/>
    </mc:Choice>
  </mc:AlternateContent>
  <workbookProtection workbookAlgorithmName="SHA-512" workbookHashValue="XdGlWfOSIeR5KK2CsExzoATw33efNefMeba+k7TnQbn64Weg0axU2/a0mH8zqU14X75PhndCiUubF3w7Sjnzdg==" workbookSaltValue="2hVSPRbBen4xA1uAwcM/YQ==" workbookSpinCount="100000" lockStructure="1"/>
  <bookViews>
    <workbookView xWindow="-15" yWindow="165" windowWidth="21630" windowHeight="5070" tabRatio="860"/>
  </bookViews>
  <sheets>
    <sheet name="За 1 доза, (g) |I.2|" sheetId="1" r:id="rId1"/>
    <sheet name="Произволно количество,(g)|II.2|" sheetId="3" r:id="rId2"/>
    <sheet name="Ръчно въвеждане, (%)" sheetId="4" r:id="rId3"/>
    <sheet name="Себестойност" sheetId="7" r:id="rId4"/>
    <sheet name="Пояснения" sheetId="12" r:id="rId5"/>
    <sheet name="Инфо 1.2" sheetId="10" r:id="rId6"/>
    <sheet name="Инфо 2.2" sheetId="13" r:id="rId7"/>
    <sheet name="Меню" sheetId="9" r:id="rId8"/>
    <sheet name="Съставки (анализ)" sheetId="5" r:id="rId9"/>
    <sheet name="Тесто (изчисл.)" sheetId="14" r:id="rId10"/>
    <sheet name="Записки +" sheetId="11" r:id="rId11"/>
  </sheets>
  <externalReferences>
    <externalReference r:id="rId12"/>
  </externalReferences>
  <definedNames>
    <definedName name="_xlnm.Print_Area" localSheetId="0">'За 1 доза, (g) |I.2|'!$A$1:$Y$32</definedName>
    <definedName name="_xlnm.Print_Area" localSheetId="10">'Записки +'!$A$1:$O$24</definedName>
    <definedName name="_xlnm.Print_Area" localSheetId="5">'Инфо 1.2'!$A$1:$D$39</definedName>
    <definedName name="_xlnm.Print_Area" localSheetId="6">'Инфо 2.2'!$A$1:$C$36</definedName>
    <definedName name="_xlnm.Print_Area" localSheetId="1">'Произволно количество,(g)|II.2|'!$A$1:$Z$34</definedName>
    <definedName name="_xlnm.Print_Area" localSheetId="2">'Ръчно въвеждане, (%)'!$A$1:$Z$34</definedName>
    <definedName name="_xlnm.Print_Area" localSheetId="3">Себестойност!$A$1:$Y$34</definedName>
    <definedName name="_xlnm.Print_Area" localSheetId="8">'Съставки (анализ)'!$A$1:$W$35</definedName>
    <definedName name="Метод">'[1]Drop Down List'!$E$4:$E$1004</definedName>
    <definedName name="Процент">'[1]Drop Down List'!$D$4:$D$104</definedName>
    <definedName name="Процент_2">'[1]Drop Down List'!$D$4:$D$14</definedName>
    <definedName name="Прфб">'[1]Drop Down List'!$A$4:$A$1004</definedName>
    <definedName name="Сол">'[1]Drop Down List'!$C$4:$C$74</definedName>
    <definedName name="Хидр_Квас">'[1]Drop Down List'!$B$4:$B$84</definedName>
  </definedNames>
  <calcPr calcId="162913"/>
</workbook>
</file>

<file path=xl/calcChain.xml><?xml version="1.0" encoding="utf-8"?>
<calcChain xmlns="http://schemas.openxmlformats.org/spreadsheetml/2006/main">
  <c r="AF14" i="14" l="1"/>
  <c r="W11" i="14"/>
  <c r="AA11" i="14" s="1"/>
  <c r="O11" i="14"/>
  <c r="G11" i="14"/>
  <c r="W10" i="14"/>
  <c r="AA10" i="14" s="1"/>
  <c r="O10" i="14"/>
  <c r="G10" i="14"/>
  <c r="W9" i="14"/>
  <c r="AA9" i="14" s="1"/>
  <c r="O9" i="14"/>
  <c r="G9" i="14"/>
  <c r="W8" i="14"/>
  <c r="AA8" i="14" s="1"/>
  <c r="O8" i="14"/>
  <c r="G8" i="14"/>
  <c r="W7" i="14"/>
  <c r="AA7" i="14" s="1"/>
  <c r="O7" i="14"/>
  <c r="G7" i="14"/>
  <c r="W6" i="14"/>
  <c r="AA6" i="14" s="1"/>
  <c r="O6" i="14"/>
  <c r="G6" i="14"/>
  <c r="W5" i="14"/>
  <c r="AA5" i="14" s="1"/>
  <c r="O5" i="14"/>
  <c r="G5" i="14"/>
  <c r="W4" i="14"/>
  <c r="AA4" i="14" s="1"/>
  <c r="O4" i="14"/>
  <c r="G4" i="14"/>
  <c r="G13" i="14" l="1"/>
  <c r="N28" i="4"/>
  <c r="G28" i="4"/>
  <c r="N28" i="3"/>
  <c r="G28" i="3"/>
  <c r="M27" i="1"/>
  <c r="F27" i="1"/>
  <c r="C2" i="13" l="1"/>
  <c r="D2" i="10"/>
  <c r="E24" i="7" l="1"/>
  <c r="D23" i="7"/>
  <c r="E25" i="7" s="1"/>
  <c r="S22" i="7"/>
  <c r="P22" i="7"/>
  <c r="O22" i="7"/>
  <c r="J22" i="7"/>
  <c r="L22" i="7" s="1"/>
  <c r="I22" i="7"/>
  <c r="H22" i="7"/>
  <c r="B22" i="7"/>
  <c r="S21" i="7"/>
  <c r="P21" i="7"/>
  <c r="O21" i="7"/>
  <c r="J21" i="7"/>
  <c r="L21" i="7" s="1"/>
  <c r="I21" i="7"/>
  <c r="H21" i="7"/>
  <c r="B21" i="7"/>
  <c r="S20" i="7"/>
  <c r="P20" i="7"/>
  <c r="O20" i="7"/>
  <c r="J20" i="7"/>
  <c r="L20" i="7" s="1"/>
  <c r="I20" i="7"/>
  <c r="H20" i="7"/>
  <c r="B20" i="7"/>
  <c r="S19" i="7"/>
  <c r="P19" i="7"/>
  <c r="O19" i="7"/>
  <c r="J19" i="7"/>
  <c r="L19" i="7" s="1"/>
  <c r="I19" i="7"/>
  <c r="H19" i="7"/>
  <c r="B19" i="7"/>
  <c r="S18" i="7"/>
  <c r="P18" i="7"/>
  <c r="O18" i="7"/>
  <c r="J18" i="7"/>
  <c r="L18" i="7" s="1"/>
  <c r="I18" i="7"/>
  <c r="H18" i="7"/>
  <c r="B18" i="7"/>
  <c r="S17" i="7"/>
  <c r="P17" i="7"/>
  <c r="O17" i="7"/>
  <c r="J17" i="7"/>
  <c r="L17" i="7" s="1"/>
  <c r="I17" i="7"/>
  <c r="H17" i="7"/>
  <c r="B17" i="7"/>
  <c r="S16" i="7"/>
  <c r="P16" i="7"/>
  <c r="O16" i="7"/>
  <c r="J16" i="7"/>
  <c r="L16" i="7" s="1"/>
  <c r="I16" i="7"/>
  <c r="H16" i="7"/>
  <c r="B16" i="7"/>
  <c r="S15" i="7"/>
  <c r="P15" i="7"/>
  <c r="O15" i="7"/>
  <c r="J15" i="7"/>
  <c r="L15" i="7" s="1"/>
  <c r="I15" i="7"/>
  <c r="H15" i="7"/>
  <c r="B15" i="7"/>
  <c r="S14" i="7"/>
  <c r="P14" i="7"/>
  <c r="O14" i="7"/>
  <c r="J14" i="7"/>
  <c r="L14" i="7" s="1"/>
  <c r="I14" i="7"/>
  <c r="H14" i="7"/>
  <c r="B14" i="7"/>
  <c r="S13" i="7"/>
  <c r="P13" i="7"/>
  <c r="O13" i="7"/>
  <c r="J13" i="7"/>
  <c r="L13" i="7" s="1"/>
  <c r="I13" i="7"/>
  <c r="H13" i="7"/>
  <c r="B13" i="7"/>
  <c r="S12" i="7"/>
  <c r="P12" i="7"/>
  <c r="O12" i="7"/>
  <c r="J12" i="7"/>
  <c r="L12" i="7" s="1"/>
  <c r="I12" i="7"/>
  <c r="H12" i="7"/>
  <c r="B12" i="7"/>
  <c r="S11" i="7"/>
  <c r="P11" i="7"/>
  <c r="O11" i="7"/>
  <c r="J11" i="7"/>
  <c r="L11" i="7" s="1"/>
  <c r="I11" i="7"/>
  <c r="H11" i="7"/>
  <c r="B11" i="7"/>
  <c r="S10" i="7"/>
  <c r="P10" i="7"/>
  <c r="O10" i="7"/>
  <c r="J10" i="7"/>
  <c r="L10" i="7" s="1"/>
  <c r="I10" i="7"/>
  <c r="H10" i="7"/>
  <c r="B10" i="7"/>
  <c r="S9" i="7"/>
  <c r="P9" i="7"/>
  <c r="O9" i="7"/>
  <c r="J9" i="7"/>
  <c r="J23" i="7" s="1"/>
  <c r="I9" i="7"/>
  <c r="H9" i="7"/>
  <c r="B9" i="7"/>
  <c r="K25" i="5"/>
  <c r="E25" i="5"/>
  <c r="L24" i="5"/>
  <c r="F24" i="5"/>
  <c r="L23" i="5"/>
  <c r="F23" i="5"/>
  <c r="L22" i="5"/>
  <c r="F22" i="5"/>
  <c r="L21" i="5"/>
  <c r="F21" i="5"/>
  <c r="L20" i="5"/>
  <c r="F20" i="5"/>
  <c r="L19" i="5"/>
  <c r="F19" i="5"/>
  <c r="L18" i="5"/>
  <c r="F18" i="5"/>
  <c r="L17" i="5"/>
  <c r="F17" i="5"/>
  <c r="L16" i="5"/>
  <c r="F16" i="5"/>
  <c r="L15" i="5"/>
  <c r="F15" i="5"/>
  <c r="L14" i="5"/>
  <c r="F14" i="5"/>
  <c r="L13" i="5"/>
  <c r="F13" i="5"/>
  <c r="L12" i="5"/>
  <c r="F12" i="5"/>
  <c r="L11" i="5"/>
  <c r="L25" i="5" s="1"/>
  <c r="I11" i="5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F11" i="5"/>
  <c r="F25" i="5" s="1"/>
  <c r="C11" i="5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L23" i="4"/>
  <c r="M23" i="4" s="1"/>
  <c r="K23" i="4"/>
  <c r="L22" i="4"/>
  <c r="M22" i="4" s="1"/>
  <c r="K22" i="4"/>
  <c r="L21" i="4"/>
  <c r="M21" i="4" s="1"/>
  <c r="K21" i="4"/>
  <c r="L20" i="4"/>
  <c r="M20" i="4" s="1"/>
  <c r="K20" i="4"/>
  <c r="L19" i="4"/>
  <c r="M19" i="4" s="1"/>
  <c r="K19" i="4"/>
  <c r="L18" i="4"/>
  <c r="M18" i="4" s="1"/>
  <c r="K18" i="4"/>
  <c r="L17" i="4"/>
  <c r="M17" i="4" s="1"/>
  <c r="K17" i="4"/>
  <c r="L16" i="4"/>
  <c r="M16" i="4" s="1"/>
  <c r="K16" i="4"/>
  <c r="L15" i="4"/>
  <c r="M15" i="4" s="1"/>
  <c r="K15" i="4"/>
  <c r="L14" i="4"/>
  <c r="M14" i="4" s="1"/>
  <c r="K14" i="4"/>
  <c r="L13" i="4"/>
  <c r="M13" i="4" s="1"/>
  <c r="K13" i="4"/>
  <c r="L12" i="4"/>
  <c r="M12" i="4" s="1"/>
  <c r="K12" i="4"/>
  <c r="L11" i="4"/>
  <c r="M11" i="4" s="1"/>
  <c r="K11" i="4"/>
  <c r="M10" i="4"/>
  <c r="K10" i="4"/>
  <c r="J10" i="4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F10" i="4"/>
  <c r="F22" i="4" s="1"/>
  <c r="C10" i="4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K23" i="3"/>
  <c r="D23" i="3"/>
  <c r="K22" i="3"/>
  <c r="D22" i="3"/>
  <c r="K21" i="3"/>
  <c r="D21" i="3"/>
  <c r="K20" i="3"/>
  <c r="D20" i="3"/>
  <c r="K19" i="3"/>
  <c r="D19" i="3"/>
  <c r="K18" i="3"/>
  <c r="D18" i="3"/>
  <c r="K17" i="3"/>
  <c r="D17" i="3"/>
  <c r="K16" i="3"/>
  <c r="D16" i="3"/>
  <c r="K15" i="3"/>
  <c r="D15" i="3"/>
  <c r="K14" i="3"/>
  <c r="D14" i="3"/>
  <c r="K13" i="3"/>
  <c r="D13" i="3"/>
  <c r="K12" i="3"/>
  <c r="D12" i="3"/>
  <c r="K11" i="3"/>
  <c r="D11" i="3"/>
  <c r="M10" i="3"/>
  <c r="K10" i="3"/>
  <c r="J10" i="3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D10" i="3"/>
  <c r="C10" i="3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3" i="3"/>
  <c r="E23" i="1"/>
  <c r="E27" i="1" s="1"/>
  <c r="N22" i="1"/>
  <c r="M22" i="1"/>
  <c r="L22" i="1"/>
  <c r="K22" i="1"/>
  <c r="H22" i="1"/>
  <c r="E23" i="3" s="1"/>
  <c r="N21" i="1"/>
  <c r="M21" i="1"/>
  <c r="L21" i="1"/>
  <c r="K21" i="1"/>
  <c r="H21" i="1"/>
  <c r="L22" i="3" s="1"/>
  <c r="M22" i="3" s="1"/>
  <c r="N20" i="1"/>
  <c r="M20" i="1"/>
  <c r="L20" i="1"/>
  <c r="K20" i="1"/>
  <c r="H20" i="1"/>
  <c r="E21" i="3" s="1"/>
  <c r="N19" i="1"/>
  <c r="M19" i="1"/>
  <c r="L19" i="1"/>
  <c r="K19" i="1"/>
  <c r="H19" i="1"/>
  <c r="L20" i="3" s="1"/>
  <c r="M20" i="3" s="1"/>
  <c r="N18" i="1"/>
  <c r="M18" i="1"/>
  <c r="L18" i="1"/>
  <c r="K18" i="1"/>
  <c r="H18" i="1"/>
  <c r="L19" i="3" s="1"/>
  <c r="M19" i="3" s="1"/>
  <c r="N17" i="1"/>
  <c r="M17" i="1"/>
  <c r="L17" i="1"/>
  <c r="K17" i="1"/>
  <c r="H17" i="1"/>
  <c r="L18" i="3" s="1"/>
  <c r="M18" i="3" s="1"/>
  <c r="N16" i="1"/>
  <c r="M16" i="1"/>
  <c r="L16" i="1"/>
  <c r="K16" i="1"/>
  <c r="H16" i="1"/>
  <c r="E17" i="3" s="1"/>
  <c r="N15" i="1"/>
  <c r="M15" i="1"/>
  <c r="L15" i="1"/>
  <c r="K15" i="1"/>
  <c r="H15" i="1"/>
  <c r="L16" i="3" s="1"/>
  <c r="M16" i="3" s="1"/>
  <c r="N14" i="1"/>
  <c r="M14" i="1"/>
  <c r="L14" i="1"/>
  <c r="K14" i="1"/>
  <c r="H14" i="1"/>
  <c r="L15" i="3" s="1"/>
  <c r="M15" i="3" s="1"/>
  <c r="N13" i="1"/>
  <c r="M13" i="1"/>
  <c r="L13" i="1"/>
  <c r="K13" i="1"/>
  <c r="H13" i="1"/>
  <c r="L14" i="3" s="1"/>
  <c r="M14" i="3" s="1"/>
  <c r="N12" i="1"/>
  <c r="M12" i="1"/>
  <c r="L12" i="1"/>
  <c r="K12" i="1"/>
  <c r="H12" i="1"/>
  <c r="L13" i="3" s="1"/>
  <c r="M13" i="3" s="1"/>
  <c r="N11" i="1"/>
  <c r="M11" i="1"/>
  <c r="L11" i="1"/>
  <c r="K11" i="1"/>
  <c r="H11" i="1"/>
  <c r="L12" i="3" s="1"/>
  <c r="M12" i="3" s="1"/>
  <c r="N10" i="1"/>
  <c r="M10" i="1"/>
  <c r="L10" i="1"/>
  <c r="K10" i="1"/>
  <c r="H10" i="1"/>
  <c r="L11" i="3" s="1"/>
  <c r="M11" i="3" s="1"/>
  <c r="N9" i="1"/>
  <c r="M9" i="1"/>
  <c r="L9" i="1"/>
  <c r="K9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C9" i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E18" i="3" l="1"/>
  <c r="E19" i="3"/>
  <c r="E14" i="3"/>
  <c r="E20" i="3"/>
  <c r="L23" i="1"/>
  <c r="L27" i="1" s="1"/>
  <c r="E15" i="3"/>
  <c r="E22" i="3"/>
  <c r="E11" i="3"/>
  <c r="E13" i="3"/>
  <c r="E12" i="3"/>
  <c r="E16" i="3"/>
  <c r="L17" i="3"/>
  <c r="M17" i="3" s="1"/>
  <c r="L21" i="3"/>
  <c r="M21" i="3" s="1"/>
  <c r="L23" i="3"/>
  <c r="M23" i="3" s="1"/>
  <c r="M24" i="4"/>
  <c r="M28" i="4" s="1"/>
  <c r="L9" i="7"/>
  <c r="L24" i="7" s="1"/>
  <c r="L25" i="7" s="1"/>
  <c r="F11" i="4"/>
  <c r="F17" i="4"/>
  <c r="F23" i="4"/>
  <c r="F13" i="4"/>
  <c r="F15" i="4"/>
  <c r="F19" i="4"/>
  <c r="F21" i="4"/>
  <c r="F12" i="4"/>
  <c r="F14" i="4"/>
  <c r="F16" i="4"/>
  <c r="F18" i="4"/>
  <c r="F20" i="4"/>
  <c r="F10" i="3" l="1"/>
  <c r="F12" i="3" s="1"/>
  <c r="M24" i="3"/>
  <c r="M28" i="3" s="1"/>
  <c r="F24" i="4"/>
  <c r="F28" i="4" s="1"/>
  <c r="F23" i="3" l="1"/>
  <c r="F14" i="3"/>
  <c r="F17" i="3"/>
  <c r="F11" i="3"/>
  <c r="F20" i="3"/>
  <c r="F19" i="3"/>
  <c r="F22" i="3"/>
  <c r="F16" i="3"/>
  <c r="F15" i="3"/>
  <c r="F13" i="3"/>
  <c r="F21" i="3"/>
  <c r="F18" i="3"/>
  <c r="F24" i="3" l="1"/>
  <c r="F28" i="3" s="1"/>
</calcChain>
</file>

<file path=xl/comments1.xml><?xml version="1.0" encoding="utf-8"?>
<comments xmlns="http://schemas.openxmlformats.org/spreadsheetml/2006/main">
  <authors>
    <author>:</author>
    <author>Abc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… име на рецептата …</t>
        </r>
      </text>
    </comment>
    <comment ref="Q4" authorId="1" shapeId="0">
      <text>
        <r>
          <rPr>
            <b/>
            <sz val="8"/>
            <color indexed="81"/>
            <rFont val="Tahoma"/>
            <family val="2"/>
          </rPr>
          <t>Стойности, подлежащи на промяна;</t>
        </r>
      </text>
    </comment>
    <comment ref="Q6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 по обем:
ч.л.; с.л.; к.ч.; ч.ч. и т.н. ...</t>
        </r>
      </text>
    </comment>
    <comment ref="H7" authorId="1" shapeId="0">
      <text>
        <r>
          <rPr>
            <b/>
            <sz val="8"/>
            <color indexed="81"/>
            <rFont val="Tahoma"/>
            <family val="2"/>
          </rPr>
          <t>% от Основната съставка;</t>
        </r>
      </text>
    </comment>
    <comment ref="F8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съставката;</t>
        </r>
      </text>
    </comment>
    <comment ref="G8" authorId="0" shapeId="0">
      <text>
        <r>
          <rPr>
            <b/>
            <u/>
            <sz val="8"/>
            <color indexed="81"/>
            <rFont val="Tahoma"/>
            <family val="2"/>
          </rPr>
          <t>Пример:</t>
        </r>
        <r>
          <rPr>
            <b/>
            <sz val="8"/>
            <color indexed="81"/>
            <rFont val="Tahoma"/>
            <family val="2"/>
          </rPr>
          <t xml:space="preserve">
ч.л.; с.л.; к.ч.; ч.ч. и т.н. ...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  <comment ref="D9" authorId="0" shapeId="0">
      <text>
        <r>
          <rPr>
            <b/>
            <sz val="8"/>
            <color indexed="81"/>
            <rFont val="Tahoma"/>
            <family val="2"/>
          </rPr>
          <t>Основна съставка;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Тегло на основната
 съставка, (g);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</commentList>
</comments>
</file>

<file path=xl/comments2.xml><?xml version="1.0" encoding="utf-8"?>
<comments xmlns="http://schemas.openxmlformats.org/spreadsheetml/2006/main">
  <authors>
    <author>:</author>
    <author>Abc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… име на рецептата …</t>
        </r>
      </text>
    </comment>
    <comment ref="R4" authorId="1" shapeId="0">
      <text>
        <r>
          <rPr>
            <b/>
            <sz val="8"/>
            <color indexed="81"/>
            <rFont val="Tahoma"/>
            <family val="2"/>
          </rPr>
          <t>Стойности, подлежащи на промяна;</t>
        </r>
      </text>
    </comment>
    <comment ref="R6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 по обем:
ч.л.; с.л.; к.ч.; ч.ч. и т.н. ...</t>
        </r>
      </text>
    </comment>
    <comment ref="N8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 по обем:
ч.л.; с.л.; к.ч.; ч.ч. и т.н. ...</t>
        </r>
      </text>
    </comment>
    <comment ref="R8" authorId="1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% от Основната съставка;</t>
        </r>
      </text>
    </comment>
    <comment ref="G9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съставката;</t>
        </r>
      </text>
    </comment>
    <comment ref="H9" authorId="0" shapeId="0">
      <text>
        <r>
          <rPr>
            <b/>
            <u/>
            <sz val="8"/>
            <color indexed="81"/>
            <rFont val="Tahoma"/>
            <family val="2"/>
          </rPr>
          <t>Пример:</t>
        </r>
        <r>
          <rPr>
            <b/>
            <sz val="8"/>
            <color indexed="81"/>
            <rFont val="Tahoma"/>
            <family val="2"/>
          </rPr>
          <t xml:space="preserve">
ч.л.; с.л.; к.ч.; ч.ч. и т.н. ...</t>
        </r>
      </text>
    </comment>
    <comment ref="L9" authorId="0" shapeId="0">
      <text>
        <r>
          <rPr>
            <b/>
            <sz val="8"/>
            <color indexed="81"/>
            <rFont val="Tahoma"/>
            <family val="2"/>
          </rPr>
          <t>% от Основната съставка;</t>
        </r>
      </text>
    </comment>
    <comment ref="N9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съставката;</t>
        </r>
      </text>
    </comment>
    <comment ref="O9" authorId="0" shapeId="0">
      <text>
        <r>
          <rPr>
            <b/>
            <u/>
            <sz val="8"/>
            <color indexed="81"/>
            <rFont val="Tahoma"/>
            <family val="2"/>
          </rPr>
          <t>Пример:</t>
        </r>
        <r>
          <rPr>
            <b/>
            <sz val="8"/>
            <color indexed="81"/>
            <rFont val="Tahoma"/>
            <family val="2"/>
          </rPr>
          <t xml:space="preserve">
ч.л.; с.л.; к.ч.; ч.ч. и т.н. ...</t>
        </r>
      </text>
    </comment>
    <comment ref="D10" authorId="0" shapeId="0">
      <text>
        <r>
          <rPr>
            <b/>
            <sz val="8"/>
            <color indexed="81"/>
            <rFont val="Tahoma"/>
            <family val="2"/>
          </rPr>
          <t>Основна съставка;</t>
        </r>
      </text>
    </comment>
    <comment ref="K10" authorId="0" shapeId="0">
      <text>
        <r>
          <rPr>
            <b/>
            <sz val="8"/>
            <color indexed="81"/>
            <rFont val="Tahoma"/>
            <family val="2"/>
          </rPr>
          <t>Основна съставка;</t>
        </r>
      </text>
    </comment>
    <comment ref="G26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  <comment ref="N26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</commentList>
</comments>
</file>

<file path=xl/comments3.xml><?xml version="1.0" encoding="utf-8"?>
<comments xmlns="http://schemas.openxmlformats.org/spreadsheetml/2006/main">
  <authors>
    <author>:</author>
    <author>Abc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… име на рецептата …</t>
        </r>
      </text>
    </comment>
    <comment ref="R4" authorId="1" shapeId="0">
      <text>
        <r>
          <rPr>
            <b/>
            <sz val="8"/>
            <color indexed="81"/>
            <rFont val="Tahoma"/>
            <family val="2"/>
          </rPr>
          <t>Стойности, подлежащи на промяна;</t>
        </r>
      </text>
    </comment>
    <comment ref="R6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 по обем:
ч.л.; с.л.; к.ч.; ч.ч. и т.н. ...</t>
        </r>
      </text>
    </comment>
    <comment ref="N8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 по обем:
ч.л.; с.л.; к.ч.; ч.ч. и т.н. ...</t>
        </r>
      </text>
    </comment>
    <comment ref="R8" authorId="1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% от Основната съставка;</t>
        </r>
      </text>
    </comment>
    <comment ref="G9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съставката;</t>
        </r>
      </text>
    </comment>
    <comment ref="H9" authorId="0" shapeId="0">
      <text>
        <r>
          <rPr>
            <b/>
            <u/>
            <sz val="8"/>
            <color indexed="81"/>
            <rFont val="Tahoma"/>
            <family val="2"/>
          </rPr>
          <t>Пример:</t>
        </r>
        <r>
          <rPr>
            <b/>
            <sz val="8"/>
            <color indexed="81"/>
            <rFont val="Tahoma"/>
            <family val="2"/>
          </rPr>
          <t xml:space="preserve">
ч.л.; с.л.; к.ч.; ч.ч. и т.н. ...</t>
        </r>
      </text>
    </comment>
    <comment ref="L9" authorId="0" shapeId="0">
      <text>
        <r>
          <rPr>
            <b/>
            <sz val="8"/>
            <color indexed="81"/>
            <rFont val="Tahoma"/>
            <family val="2"/>
          </rPr>
          <t>% от Основната съставка;</t>
        </r>
      </text>
    </comment>
    <comment ref="N9" authorId="0" shapeId="0">
      <text>
        <r>
          <rPr>
            <b/>
            <sz val="8"/>
            <color indexed="81"/>
            <rFont val="Tahoma"/>
            <family val="2"/>
          </rPr>
          <t>Количество на съставката;</t>
        </r>
      </text>
    </comment>
    <comment ref="O9" authorId="0" shapeId="0">
      <text>
        <r>
          <rPr>
            <b/>
            <u/>
            <sz val="8"/>
            <color indexed="81"/>
            <rFont val="Tahoma"/>
            <family val="2"/>
          </rPr>
          <t>Пример:</t>
        </r>
        <r>
          <rPr>
            <b/>
            <sz val="8"/>
            <color indexed="81"/>
            <rFont val="Tahoma"/>
            <family val="2"/>
          </rPr>
          <t xml:space="preserve">
ч.л.; с.л.; к.ч.; ч.ч. и т.н. ...</t>
        </r>
      </text>
    </comment>
    <comment ref="D10" authorId="0" shapeId="0">
      <text>
        <r>
          <rPr>
            <b/>
            <sz val="8"/>
            <color indexed="81"/>
            <rFont val="Tahoma"/>
            <family val="2"/>
          </rPr>
          <t>Основна съставка;</t>
        </r>
      </text>
    </comment>
    <comment ref="K10" authorId="0" shapeId="0">
      <text>
        <r>
          <rPr>
            <b/>
            <sz val="8"/>
            <color indexed="81"/>
            <rFont val="Tahoma"/>
            <family val="2"/>
          </rPr>
          <t>Основна съставка;</t>
        </r>
      </text>
    </comment>
    <comment ref="G26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  <comment ref="N26" authorId="0" shapeId="0">
      <text>
        <r>
          <rPr>
            <b/>
            <sz val="8"/>
            <color indexed="81"/>
            <rFont val="Tahoma"/>
            <family val="2"/>
          </rPr>
          <t>На колко части се дели общото количество на продукта ? ;
или
Тегло на всяка една отделна част ;</t>
        </r>
      </text>
    </comment>
  </commentList>
</comments>
</file>

<file path=xl/comments4.xml><?xml version="1.0" encoding="utf-8"?>
<comments xmlns="http://schemas.openxmlformats.org/spreadsheetml/2006/main">
  <authors>
    <author>:</author>
    <author>Abc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… наименование на изделието …</t>
        </r>
      </text>
    </comment>
    <comment ref="V5" authorId="1" shapeId="0">
      <text>
        <r>
          <rPr>
            <b/>
            <sz val="8"/>
            <color indexed="81"/>
            <rFont val="Tahoma"/>
            <family val="2"/>
          </rPr>
          <t>Стойности, подлежащи 
на промяна;</t>
        </r>
      </text>
    </comment>
    <comment ref="V9" authorId="1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  <comment ref="B27" authorId="1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</commentList>
</comments>
</file>

<file path=xl/comments5.xml><?xml version="1.0" encoding="utf-8"?>
<comments xmlns="http://schemas.openxmlformats.org/spreadsheetml/2006/main">
  <authors>
    <author>:</author>
    <author>Abc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… наименование на изделието …</t>
        </r>
      </text>
    </comment>
    <comment ref="O5" authorId="1" shapeId="0">
      <text>
        <r>
          <rPr>
            <b/>
            <sz val="8"/>
            <color indexed="81"/>
            <rFont val="Tahoma"/>
            <family val="2"/>
          </rPr>
          <t>Стойности, подлежащи 
на промяна;</t>
        </r>
      </text>
    </comment>
    <comment ref="O8" authorId="1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  <comment ref="E10" authorId="0" shapeId="0">
      <text>
        <r>
          <rPr>
            <b/>
            <sz val="8"/>
            <color indexed="81"/>
            <rFont val="Tahoma"/>
            <family val="2"/>
          </rPr>
          <t>% от теглото на изделието;</t>
        </r>
      </text>
    </comment>
    <comment ref="L10" authorId="0" shapeId="0">
      <text>
        <r>
          <rPr>
            <b/>
            <sz val="8"/>
            <color indexed="81"/>
            <rFont val="Tahoma"/>
            <family val="2"/>
          </rPr>
          <t>% от теглото на изделието;</t>
        </r>
      </text>
    </comment>
    <comment ref="D11" authorId="0" shapeId="0">
      <text>
        <r>
          <rPr>
            <b/>
            <sz val="8"/>
            <color indexed="81"/>
            <rFont val="Tahoma"/>
            <family val="2"/>
          </rPr>
          <t>Основна съставка;</t>
        </r>
      </text>
    </comment>
    <comment ref="J11" authorId="0" shapeId="0">
      <text>
        <r>
          <rPr>
            <b/>
            <sz val="8"/>
            <color indexed="81"/>
            <rFont val="Tahoma"/>
            <family val="2"/>
          </rPr>
          <t>Основна съставка;</t>
        </r>
      </text>
    </comment>
  </commentList>
</comments>
</file>

<file path=xl/comments6.xml><?xml version="1.0" encoding="utf-8"?>
<comments xmlns="http://schemas.openxmlformats.org/spreadsheetml/2006/main">
  <authors>
    <author>Abc</author>
  </authors>
  <commentList>
    <comment ref="S16" authorId="0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  <comment ref="B17" authorId="0" shapeId="0">
      <text>
        <r>
          <rPr>
            <b/>
            <sz val="8"/>
            <color indexed="81"/>
            <rFont val="Tahoma"/>
            <family val="2"/>
          </rPr>
          <t>Стойност, подлежаща на промяна, която задаваме свободно;</t>
        </r>
      </text>
    </comment>
    <comment ref="B18" authorId="0" shapeId="0">
      <text>
        <r>
          <rPr>
            <b/>
            <sz val="8"/>
            <color indexed="81"/>
            <rFont val="Tahoma"/>
            <family val="2"/>
          </rPr>
          <t>Стойност, подлежаща на промяна, която задаваме свободно;</t>
        </r>
      </text>
    </comment>
    <comment ref="B19" authorId="0" shapeId="0">
      <text>
        <r>
          <rPr>
            <b/>
            <sz val="8"/>
            <color indexed="81"/>
            <rFont val="Tahoma"/>
            <family val="2"/>
          </rPr>
          <t xml:space="preserve">За преминаване 
на нов ред: 
</t>
        </r>
        <r>
          <rPr>
            <b/>
            <sz val="8"/>
            <color indexed="10"/>
            <rFont val="Tahoma"/>
            <family val="2"/>
          </rPr>
          <t>Alt+Enter</t>
        </r>
      </text>
    </comment>
    <comment ref="B20" authorId="0" shapeId="0">
      <text>
        <r>
          <rPr>
            <b/>
            <sz val="8"/>
            <color indexed="81"/>
            <rFont val="Tahoma"/>
            <family val="2"/>
          </rPr>
          <t>Стойността, която търсим; 
(изчислена на базата на зададените 
от нас променливи стойности)</t>
        </r>
      </text>
    </comment>
  </commentList>
</comments>
</file>

<file path=xl/sharedStrings.xml><?xml version="1.0" encoding="utf-8"?>
<sst xmlns="http://schemas.openxmlformats.org/spreadsheetml/2006/main" count="411" uniqueCount="146">
  <si>
    <t>Дози (брой):</t>
  </si>
  <si>
    <t>Общо:</t>
  </si>
  <si>
    <t>-</t>
  </si>
  <si>
    <t>Съставки</t>
  </si>
  <si>
    <t>За 1 доза, (g)</t>
  </si>
  <si>
    <t>Формула на рецептата</t>
  </si>
  <si>
    <t>(%)</t>
  </si>
  <si>
    <t>Тегло, (g)</t>
  </si>
  <si>
    <t>Легенда:</t>
  </si>
  <si>
    <t>Свободно въвеждане на текст</t>
  </si>
  <si>
    <t>Променливи стойности</t>
  </si>
  <si>
    <t>Бележки:</t>
  </si>
  <si>
    <t>мярка</t>
  </si>
  <si>
    <t>к-во</t>
  </si>
  <si>
    <t>Обем</t>
  </si>
  <si>
    <t>… Брашно …</t>
  </si>
  <si>
    <t>Основна съставка, (g):</t>
  </si>
  <si>
    <t>(налично количество)</t>
  </si>
  <si>
    <t>Опаковка /тегло/, (g)</t>
  </si>
  <si>
    <t>Опаковка /цена/, (лв)</t>
  </si>
  <si>
    <t>Цена / кг</t>
  </si>
  <si>
    <t>Себестойност, (лв)</t>
  </si>
  <si>
    <t>Цена / к-во</t>
  </si>
  <si>
    <t>Себестойност, (лв):</t>
  </si>
  <si>
    <t>Количество по рецепта, (g)</t>
  </si>
  <si>
    <t>Общо, (g):</t>
  </si>
  <si>
    <t>Цена за килограм</t>
  </si>
  <si>
    <t>Меню:</t>
  </si>
  <si>
    <t>(… връзка към …)</t>
  </si>
  <si>
    <t>I</t>
  </si>
  <si>
    <t>ІІ</t>
  </si>
  <si>
    <t>ІІІ</t>
  </si>
  <si>
    <t>V</t>
  </si>
  <si>
    <t>&gt;&gt;&gt; МЕНЮ &lt;&lt;&lt;</t>
  </si>
  <si>
    <t>ФУНКЦИЯ</t>
  </si>
  <si>
    <t>Ç</t>
  </si>
  <si>
    <t>M</t>
  </si>
  <si>
    <t>i</t>
  </si>
  <si>
    <t>Съставки (анализ)</t>
  </si>
  <si>
    <t>Себестойност</t>
  </si>
  <si>
    <t>Ръчно въвеждане (%)</t>
  </si>
  <si>
    <t xml:space="preserve"> 2) Изчислява количествата на съставките за произволен брой дози;</t>
  </si>
  <si>
    <t>Вариант 1:</t>
  </si>
  <si>
    <t>Вариант 2:</t>
  </si>
  <si>
    <t>Други пояснения</t>
  </si>
  <si>
    <t xml:space="preserve"> - Файлът може да се преименува по желание;</t>
  </si>
  <si>
    <t>Рецептурна бланка</t>
  </si>
  <si>
    <t>За 1 доза (1.2)</t>
  </si>
  <si>
    <t>Произволно количество (2.2)</t>
  </si>
  <si>
    <t>(лв / кг):</t>
  </si>
  <si>
    <t>I.2</t>
  </si>
  <si>
    <t>II.2</t>
  </si>
  <si>
    <t>За 1 доза, (g) - I.2</t>
  </si>
  <si>
    <t>Произволно количество, (g) - II.2</t>
  </si>
  <si>
    <t>Ръчно въвеждане, (%)</t>
  </si>
  <si>
    <t>:</t>
  </si>
  <si>
    <t>=</t>
  </si>
  <si>
    <t>… Бележки (допълнителни) …</t>
  </si>
  <si>
    <t>М</t>
  </si>
  <si>
    <t>Записки (допълнителни)</t>
  </si>
  <si>
    <t>VI</t>
  </si>
  <si>
    <t>1
2
3</t>
  </si>
  <si>
    <t>1
2</t>
  </si>
  <si>
    <t>Цена на килограм:</t>
  </si>
  <si>
    <t>За 1 доза (I.2)</t>
  </si>
  <si>
    <t>Произволно 
количество (II.2)</t>
  </si>
  <si>
    <t>1
2
3
4</t>
  </si>
  <si>
    <t>КАЛКУЛАТОР</t>
  </si>
  <si>
    <t xml:space="preserve"> 1) Изчислява количествата на съставките, необходими за получаването 
на произволно (търсено) количество от продукта на рецептата;</t>
  </si>
  <si>
    <t>Изчислява цената на килограм на даден продукт, 
ако знаем нетното тегло (теглото на съдържанието) на дадена опаковка, както и нейната цена;</t>
  </si>
  <si>
    <t>Ценообразуване ( A )</t>
  </si>
  <si>
    <t>Ценообразуване ( Б )</t>
  </si>
  <si>
    <t>Желано тегло
на изделието, (g):</t>
  </si>
  <si>
    <t>(% от теглото на изделието)</t>
  </si>
  <si>
    <t>Тегло на изделието, (g):</t>
  </si>
  <si>
    <t xml:space="preserve"> 2) Изчислява какво количество от крайния продукт може да се получи и по какъв начин 
(какви количества от съставките да се използват, така че да се спази формулата на рецептата), 
спрямо това с какво количество на основната съставка разполагаме;</t>
  </si>
  <si>
    <t>(тегло на съставката)</t>
  </si>
  <si>
    <t xml:space="preserve"> 1) Изчислява теглото на всяка съставка от изделието, при дадени: 
 - Тегло на изделието;
- Процентен дял на всяка съставка, спрямо теглото на изделието;</t>
  </si>
  <si>
    <t xml:space="preserve"> 2) Изчислява процентния дял на всяка съставка, спрямо теглото на изделието, при дадени:
- Тегло на изделието;
- Тегло на всяка съставка;</t>
  </si>
  <si>
    <t>Изчислява себестойността на изделието, 
ако знаем себестойността на конкретното количество на всяка една съставка;</t>
  </si>
  <si>
    <t>Изчислява себестойността на изделието, 
ако знаем цената на килограм на всяка една съставка;</t>
  </si>
  <si>
    <t>Команди (Excel)</t>
  </si>
  <si>
    <t>Изглед „На цял екран“ (вкл/изкл):</t>
  </si>
  <si>
    <t>Ctrl + Shift + F1</t>
  </si>
  <si>
    <t>Лента с инструменти (скриване/показване):</t>
  </si>
  <si>
    <t>Ctrl + F1</t>
  </si>
  <si>
    <t>Поле за формули (скриване/показване):</t>
  </si>
  <si>
    <t>Alt + V + F</t>
  </si>
  <si>
    <t>&gt;&gt;&gt; Други пояснения &lt;&lt;&lt;</t>
  </si>
  <si>
    <t>&gt;&gt;&gt; Пояснения &lt;&lt;&lt;</t>
  </si>
  <si>
    <t>- Файлът е създаден с помощта на версията на Microsoft-Excel за настолен/преносим компютър;
- Ако файлът се използва с някоя друга програма за електронни таблици, то е вероятно 
обликът на таблиците в него и/или някоя от функционалностите им да бъдат нарушени;
- Ако се използва на смарт-телефон, то е препоръчително файлът да бъде отварян 
с мобилната версия на Microsoft-Excel (която има и безплатен вариант);</t>
  </si>
  <si>
    <t>1
2
3
4
5
6
7</t>
  </si>
  <si>
    <r>
      <t xml:space="preserve"> - Предварително въведените (променливи) стойности имат за цел да послужат единствено за пример;
*Те могат да бъдат лесно изтрити като се използва макросът </t>
    </r>
    <r>
      <rPr>
        <sz val="11"/>
        <color rgb="FFFF0000"/>
        <rFont val="Arial"/>
        <family val="2"/>
      </rPr>
      <t>SelectUnlockedCells</t>
    </r>
    <r>
      <rPr>
        <sz val="11"/>
        <rFont val="Arial"/>
        <family val="2"/>
      </rPr>
      <t xml:space="preserve"> и клавишът </t>
    </r>
    <r>
      <rPr>
        <sz val="11"/>
        <color rgb="FFFF0000"/>
        <rFont val="Arial"/>
        <family val="2"/>
      </rPr>
      <t>Delete</t>
    </r>
    <r>
      <rPr>
        <sz val="11"/>
        <rFont val="Arial"/>
        <family val="2"/>
      </rPr>
      <t>;</t>
    </r>
  </si>
  <si>
    <t xml:space="preserve"> - Десетичният знак се изписва с „точка” или „запетая”, в зависимост от регионалните настройки на операционната система;</t>
  </si>
  <si>
    <r>
      <t xml:space="preserve"> - Мащабът (Zoom In / Zoom Out) на активния прозорец може да се променя чрез плъзгача, намиращ се в долния десен ъгъл на екрана;
</t>
    </r>
    <r>
      <rPr>
        <sz val="11"/>
        <color theme="3"/>
        <rFont val="Arial"/>
        <family val="2"/>
      </rPr>
      <t>или</t>
    </r>
    <r>
      <rPr>
        <sz val="11"/>
        <rFont val="Arial"/>
        <family val="2"/>
      </rPr>
      <t xml:space="preserve">
</t>
    </r>
    <r>
      <rPr>
        <sz val="11"/>
        <color rgb="FFFF0000"/>
        <rFont val="Arial"/>
        <family val="2"/>
      </rPr>
      <t>Ctrl</t>
    </r>
    <r>
      <rPr>
        <sz val="11"/>
        <rFont val="Arial"/>
        <family val="2"/>
      </rPr>
      <t xml:space="preserve"> (задържане) </t>
    </r>
    <r>
      <rPr>
        <sz val="11"/>
        <color rgb="FFFF0000"/>
        <rFont val="Arial"/>
        <family val="2"/>
      </rPr>
      <t>+</t>
    </r>
    <r>
      <rPr>
        <sz val="11"/>
        <rFont val="Arial"/>
        <family val="2"/>
      </rPr>
      <t xml:space="preserve"> </t>
    </r>
    <r>
      <rPr>
        <sz val="11"/>
        <color rgb="FFFF0000"/>
        <rFont val="Arial"/>
        <family val="2"/>
      </rPr>
      <t>mouse-scroll</t>
    </r>
    <r>
      <rPr>
        <sz val="11"/>
        <rFont val="Arial"/>
        <family val="2"/>
      </rPr>
      <t xml:space="preserve"> (завъртане колелцето на мишката);
</t>
    </r>
    <r>
      <rPr>
        <sz val="11"/>
        <color theme="3"/>
        <rFont val="Arial"/>
        <family val="2"/>
      </rPr>
      <t>или</t>
    </r>
    <r>
      <rPr>
        <sz val="11"/>
        <rFont val="Arial"/>
        <family val="2"/>
      </rPr>
      <t xml:space="preserve">
При изглед „На цял екран“ =&gt; </t>
    </r>
    <r>
      <rPr>
        <sz val="11"/>
        <color rgb="FFFF0000"/>
        <rFont val="Arial"/>
        <family val="2"/>
      </rPr>
      <t xml:space="preserve">Alt + W + Q </t>
    </r>
    <r>
      <rPr>
        <sz val="11"/>
        <rFont val="Arial"/>
        <family val="2"/>
      </rPr>
      <t>=&gt; Избор на мащаб;</t>
    </r>
  </si>
  <si>
    <r>
      <t xml:space="preserve"> - Изглед „На цял екран“ (вкл./изкл.): </t>
    </r>
    <r>
      <rPr>
        <sz val="11"/>
        <color rgb="FFFF0000"/>
        <rFont val="Arial"/>
        <family val="2"/>
      </rPr>
      <t>Ctrl + Shift + F1</t>
    </r>
    <r>
      <rPr>
        <sz val="11"/>
        <rFont val="Arial"/>
        <family val="2"/>
      </rPr>
      <t xml:space="preserve"> ; 
- Скриване/показване на лентата с инструментите: </t>
    </r>
    <r>
      <rPr>
        <sz val="11"/>
        <color rgb="FFFF0000"/>
        <rFont val="Arial"/>
        <family val="2"/>
      </rPr>
      <t>Ctrl + F1</t>
    </r>
    <r>
      <rPr>
        <sz val="11"/>
        <rFont val="Arial"/>
        <family val="2"/>
      </rPr>
      <t xml:space="preserve"> ;</t>
    </r>
    <r>
      <rPr>
        <sz val="11"/>
        <rFont val="Arial"/>
        <family val="2"/>
      </rPr>
      <t xml:space="preserve">
</t>
    </r>
    <r>
      <rPr>
        <sz val="11"/>
        <color rgb="FFC00000"/>
        <rFont val="Arial"/>
        <family val="2"/>
      </rPr>
      <t>* С цел да бъде видима по - голяма част от таблицата;</t>
    </r>
  </si>
  <si>
    <t>1
2
3
4
5</t>
  </si>
  <si>
    <r>
      <t xml:space="preserve"> - Скриване/показване на „полето за въвеждане на формули/стойности“ </t>
    </r>
    <r>
      <rPr>
        <i/>
        <sz val="11"/>
        <rFont val="Arial"/>
        <family val="2"/>
      </rPr>
      <t>(Formula Bar)</t>
    </r>
    <r>
      <rPr>
        <sz val="11"/>
        <rFont val="Arial"/>
        <family val="2"/>
      </rPr>
      <t xml:space="preserve">:
а) </t>
    </r>
    <r>
      <rPr>
        <sz val="11"/>
        <color rgb="FFFF0000"/>
        <rFont val="Arial"/>
        <family val="2"/>
      </rPr>
      <t>View</t>
    </r>
    <r>
      <rPr>
        <sz val="11"/>
        <rFont val="Arial"/>
        <family val="2"/>
      </rPr>
      <t xml:space="preserve"> (от главното меню) =&gt; </t>
    </r>
    <r>
      <rPr>
        <sz val="11"/>
        <color rgb="FFFF0000"/>
        <rFont val="Arial"/>
        <family val="2"/>
      </rPr>
      <t>Formula Bar</t>
    </r>
    <r>
      <rPr>
        <sz val="11"/>
        <rFont val="Arial"/>
        <family val="2"/>
      </rPr>
      <t xml:space="preserve"> (в група с команди </t>
    </r>
    <r>
      <rPr>
        <i/>
        <sz val="11"/>
        <rFont val="Arial"/>
        <family val="2"/>
      </rPr>
      <t>Show</t>
    </r>
    <r>
      <rPr>
        <sz val="11"/>
        <rFont val="Arial"/>
        <family val="2"/>
      </rPr>
      <t xml:space="preserve">) =&gt; Премахване/поставяне на отметка;
</t>
    </r>
    <r>
      <rPr>
        <sz val="11"/>
        <color theme="3"/>
        <rFont val="Arial"/>
        <family val="2"/>
      </rPr>
      <t>или</t>
    </r>
    <r>
      <rPr>
        <sz val="11"/>
        <rFont val="Arial"/>
        <family val="2"/>
      </rPr>
      <t xml:space="preserve">
б) </t>
    </r>
    <r>
      <rPr>
        <sz val="11"/>
        <color rgb="FFFF0000"/>
        <rFont val="Arial"/>
        <family val="2"/>
      </rPr>
      <t>Alt + V + F</t>
    </r>
    <r>
      <rPr>
        <sz val="11"/>
        <rFont val="Arial"/>
        <family val="2"/>
      </rPr>
      <t xml:space="preserve"> ;
</t>
    </r>
    <r>
      <rPr>
        <sz val="11"/>
        <color rgb="FFC00000"/>
        <rFont val="Arial"/>
        <family val="2"/>
      </rPr>
      <t>* С цел да бъде видима по - голяма част от таблицата;</t>
    </r>
  </si>
  <si>
    <r>
      <t xml:space="preserve"> - Преминаване от една активна (отключена) клетка към друга: </t>
    </r>
    <r>
      <rPr>
        <sz val="11"/>
        <color rgb="FFFF0000"/>
        <rFont val="Arial"/>
        <family val="2"/>
      </rPr>
      <t>Tab</t>
    </r>
    <r>
      <rPr>
        <sz val="11"/>
        <rFont val="Arial"/>
        <family val="2"/>
      </rPr>
      <t xml:space="preserve"> ;
Връщане към предходната активна (отключена) клетка: </t>
    </r>
    <r>
      <rPr>
        <sz val="11"/>
        <color rgb="FFFF0000"/>
        <rFont val="Arial"/>
        <family val="2"/>
      </rPr>
      <t>Shift + Tab</t>
    </r>
    <r>
      <rPr>
        <sz val="11"/>
        <rFont val="Arial"/>
        <family val="2"/>
      </rPr>
      <t xml:space="preserve"> ;</t>
    </r>
  </si>
  <si>
    <r>
      <t xml:space="preserve"> - </t>
    </r>
    <r>
      <rPr>
        <sz val="11"/>
        <color theme="1"/>
        <rFont val="Arial"/>
        <family val="2"/>
      </rPr>
      <t>За бързо превключване между два прозореца от един и същи файл</t>
    </r>
    <r>
      <rPr>
        <sz val="11"/>
        <rFont val="Arial"/>
        <family val="2"/>
      </rPr>
      <t xml:space="preserve">:
</t>
    </r>
    <r>
      <rPr>
        <sz val="11"/>
        <color rgb="FFFF0000"/>
        <rFont val="Arial"/>
        <family val="2"/>
      </rPr>
      <t>Alt + W +</t>
    </r>
    <r>
      <rPr>
        <sz val="11"/>
        <rFont val="Arial"/>
        <family val="2"/>
      </rPr>
      <t xml:space="preserve"> </t>
    </r>
    <r>
      <rPr>
        <sz val="11"/>
        <color rgb="FFFF0000"/>
        <rFont val="Arial"/>
        <family val="2"/>
      </rPr>
      <t>N</t>
    </r>
    <r>
      <rPr>
        <sz val="11"/>
        <rFont val="Arial"/>
        <family val="2"/>
      </rPr>
      <t xml:space="preserve"> =&gt; 
=&gt; </t>
    </r>
    <r>
      <rPr>
        <sz val="11"/>
        <color rgb="FFFF0000"/>
        <rFont val="Arial"/>
        <family val="2"/>
      </rPr>
      <t>Alt + Tab</t>
    </r>
    <r>
      <rPr>
        <sz val="11"/>
        <rFont val="Arial"/>
        <family val="2"/>
      </rPr>
      <t xml:space="preserve"> (Бързо превключване между двата последно отворени един след друг прозореца / файла);</t>
    </r>
  </si>
  <si>
    <r>
      <t xml:space="preserve"> - Съдържанието на клетка от един прозорец (незевисимо дали е отключена или не)
може да се копира в отключена клетка от друг прозорец.
Подходящо е да се използва функцията „Copy =&gt; Paste (само на стойностите)“ </t>
    </r>
    <r>
      <rPr>
        <sz val="11"/>
        <color rgb="FFC00000"/>
        <rFont val="Arial"/>
        <family val="2"/>
      </rPr>
      <t>*</t>
    </r>
  </si>
  <si>
    <r>
      <rPr>
        <i/>
        <u/>
        <sz val="11"/>
        <rFont val="Arial"/>
        <family val="2"/>
      </rPr>
      <t>За бързина и удобство</t>
    </r>
    <r>
      <rPr>
        <sz val="11"/>
        <rFont val="Arial"/>
        <family val="2"/>
      </rPr>
      <t xml:space="preserve">
а) Избор на клетка =&gt; </t>
    </r>
    <r>
      <rPr>
        <sz val="11"/>
        <color rgb="FFFF0000"/>
        <rFont val="Arial"/>
        <family val="2"/>
      </rPr>
      <t>Ctrl + C</t>
    </r>
    <r>
      <rPr>
        <sz val="11"/>
        <rFont val="Arial"/>
        <family val="2"/>
      </rPr>
      <t xml:space="preserve"> (копиране) =&gt; Избор на клетка =&gt;  Десен бутон на мишката  =&gt; „</t>
    </r>
    <r>
      <rPr>
        <sz val="11"/>
        <color rgb="FFFF0000"/>
        <rFont val="Arial"/>
        <family val="2"/>
      </rPr>
      <t>123</t>
    </r>
    <r>
      <rPr>
        <sz val="11"/>
        <rFont val="Arial"/>
        <family val="2"/>
      </rPr>
      <t xml:space="preserve">“ ( или </t>
    </r>
    <r>
      <rPr>
        <sz val="11"/>
        <color rgb="FFFF0000"/>
        <rFont val="Arial"/>
        <family val="2"/>
      </rPr>
      <t>V</t>
    </r>
    <r>
      <rPr>
        <sz val="11"/>
        <rFont val="Arial"/>
        <family val="2"/>
      </rPr>
      <t xml:space="preserve"> ) ;
</t>
    </r>
    <r>
      <rPr>
        <sz val="11"/>
        <color theme="3"/>
        <rFont val="Arial"/>
        <family val="2"/>
      </rPr>
      <t xml:space="preserve">или
</t>
    </r>
    <r>
      <rPr>
        <sz val="11"/>
        <rFont val="Arial"/>
        <family val="2"/>
      </rPr>
      <t>б) Избор на клетка =&gt;</t>
    </r>
    <r>
      <rPr>
        <sz val="11"/>
        <color theme="3"/>
        <rFont val="Arial"/>
        <family val="2"/>
      </rPr>
      <t xml:space="preserve"> </t>
    </r>
    <r>
      <rPr>
        <sz val="11"/>
        <color rgb="FFFF0000"/>
        <rFont val="Arial"/>
        <family val="2"/>
      </rPr>
      <t>Ctrl + C</t>
    </r>
    <r>
      <rPr>
        <sz val="11"/>
        <color theme="3"/>
        <rFont val="Arial"/>
        <family val="2"/>
      </rPr>
      <t xml:space="preserve"> </t>
    </r>
    <r>
      <rPr>
        <sz val="11"/>
        <rFont val="Arial"/>
        <family val="2"/>
      </rPr>
      <t>(копиране) =&gt; Избор на клетка =&gt;</t>
    </r>
    <r>
      <rPr>
        <sz val="11"/>
        <color theme="3"/>
        <rFont val="Arial"/>
        <family val="2"/>
      </rPr>
      <t xml:space="preserve"> </t>
    </r>
    <r>
      <rPr>
        <sz val="11"/>
        <color rgb="FFFF0000"/>
        <rFont val="Arial"/>
        <family val="2"/>
      </rPr>
      <t xml:space="preserve">Ctrl + Alt + V </t>
    </r>
    <r>
      <rPr>
        <sz val="11"/>
        <rFont val="Arial"/>
        <family val="2"/>
      </rPr>
      <t>=&gt;</t>
    </r>
    <r>
      <rPr>
        <sz val="11"/>
        <color rgb="FFFF0000"/>
        <rFont val="Arial"/>
        <family val="2"/>
      </rPr>
      <t xml:space="preserve"> V</t>
    </r>
    <r>
      <rPr>
        <sz val="11"/>
        <color theme="3"/>
        <rFont val="Arial"/>
        <family val="2"/>
      </rPr>
      <t xml:space="preserve"> </t>
    </r>
    <r>
      <rPr>
        <sz val="11"/>
        <rFont val="Arial"/>
        <family val="2"/>
      </rPr>
      <t>=&gt;</t>
    </r>
    <r>
      <rPr>
        <sz val="11"/>
        <color theme="3"/>
        <rFont val="Arial"/>
        <family val="2"/>
      </rPr>
      <t xml:space="preserve"> </t>
    </r>
    <r>
      <rPr>
        <sz val="11"/>
        <color rgb="FFFF0000"/>
        <rFont val="Arial"/>
        <family val="2"/>
      </rPr>
      <t>Enter</t>
    </r>
    <r>
      <rPr>
        <sz val="11"/>
        <color theme="3"/>
        <rFont val="Arial"/>
        <family val="2"/>
      </rPr>
      <t xml:space="preserve"> ;</t>
    </r>
  </si>
  <si>
    <t>* Препоръчително е да не се използва функцията „Cut =&gt; Paste“, тъй като ще се наруши обликът на таблицата;</t>
  </si>
  <si>
    <t>Excel Macros</t>
  </si>
  <si>
    <r>
      <t xml:space="preserve">Макросите, които са включени във файла имат за цел да улеснят някои задачи при работата с него, 
но файлът може да се запамети във вариант без макроси, което няма да засегне изчисленията:
</t>
    </r>
    <r>
      <rPr>
        <sz val="11"/>
        <color rgb="FFFF0000"/>
        <rFont val="Arial"/>
        <family val="2"/>
      </rPr>
      <t>File</t>
    </r>
    <r>
      <rPr>
        <sz val="11"/>
        <rFont val="Arial"/>
        <family val="2"/>
      </rPr>
      <t xml:space="preserve"> =&gt; </t>
    </r>
    <r>
      <rPr>
        <sz val="11"/>
        <color rgb="FFFF0000"/>
        <rFont val="Arial"/>
        <family val="2"/>
      </rPr>
      <t>Save As</t>
    </r>
    <r>
      <rPr>
        <sz val="11"/>
        <rFont val="Arial"/>
        <family val="2"/>
      </rPr>
      <t xml:space="preserve"> =&gt; </t>
    </r>
    <r>
      <rPr>
        <sz val="11"/>
        <color rgb="FFFF0000"/>
        <rFont val="Arial"/>
        <family val="2"/>
      </rPr>
      <t xml:space="preserve">Save as type: Excel Workbook (*.xlsx) </t>
    </r>
    <r>
      <rPr>
        <sz val="11"/>
        <rFont val="Arial"/>
        <family val="2"/>
      </rPr>
      <t>;</t>
    </r>
  </si>
  <si>
    <r>
      <t xml:space="preserve">За стартиране на макро:
а) От лентата за бърз достъп (в най-горната част на прозореца);
</t>
    </r>
    <r>
      <rPr>
        <sz val="11"/>
        <color theme="3"/>
        <rFont val="Arial"/>
        <family val="2"/>
      </rPr>
      <t xml:space="preserve">или
</t>
    </r>
    <r>
      <rPr>
        <sz val="11"/>
        <rFont val="Arial"/>
        <family val="2"/>
      </rPr>
      <t xml:space="preserve">б) </t>
    </r>
    <r>
      <rPr>
        <sz val="11"/>
        <color rgb="FFFF0000"/>
        <rFont val="Arial"/>
        <family val="2"/>
      </rPr>
      <t>Alt + F8</t>
    </r>
    <r>
      <rPr>
        <sz val="11"/>
        <rFont val="Arial"/>
        <family val="2"/>
      </rPr>
      <t xml:space="preserve"> =&gt; Избор на макро =&gt; </t>
    </r>
    <r>
      <rPr>
        <sz val="11"/>
        <color rgb="FFFF0000"/>
        <rFont val="Arial"/>
        <family val="2"/>
      </rPr>
      <t>Run</t>
    </r>
    <r>
      <rPr>
        <sz val="11"/>
        <rFont val="Arial"/>
        <family val="2"/>
      </rPr>
      <t>;</t>
    </r>
  </si>
  <si>
    <t>1
2
3
4
5
6</t>
  </si>
  <si>
    <r>
      <t xml:space="preserve">Изтриване на всички променливи стойности (от даден работен лист/калкулатор): 
</t>
    </r>
    <r>
      <rPr>
        <sz val="11"/>
        <color rgb="FFFF0000"/>
        <rFont val="Arial"/>
        <family val="2"/>
      </rPr>
      <t>SelectUnlockedCells</t>
    </r>
    <r>
      <rPr>
        <sz val="11"/>
        <rFont val="Arial"/>
        <family val="2"/>
      </rPr>
      <t xml:space="preserve"> (macro) =&gt;  </t>
    </r>
    <r>
      <rPr>
        <sz val="11"/>
        <color rgb="FFFF0000"/>
        <rFont val="Arial"/>
        <family val="2"/>
      </rPr>
      <t xml:space="preserve">Delete </t>
    </r>
    <r>
      <rPr>
        <sz val="11"/>
        <rFont val="Arial"/>
        <family val="2"/>
      </rPr>
      <t xml:space="preserve">(клавиш);
*Макросът </t>
    </r>
    <r>
      <rPr>
        <sz val="11"/>
        <color rgb="FFFF0000"/>
        <rFont val="Arial"/>
        <family val="2"/>
      </rPr>
      <t>SelectUnlockedCells</t>
    </r>
    <r>
      <rPr>
        <sz val="11"/>
        <rFont val="Arial"/>
        <family val="2"/>
      </rPr>
      <t xml:space="preserve"> е изведен в лентата за бърз достъп (Quick Access Toolbar, в най-горната част на прозореца);</t>
    </r>
  </si>
  <si>
    <t>Пояснения</t>
  </si>
  <si>
    <t>Име на рецептата:</t>
  </si>
  <si>
    <t>Наименование на изделието:</t>
  </si>
  <si>
    <t>IV</t>
  </si>
  <si>
    <t>части</t>
  </si>
  <si>
    <t>свободно въвеждане на текст</t>
  </si>
  <si>
    <t>падащо меню</t>
  </si>
  <si>
    <t>променлива стойност</t>
  </si>
  <si>
    <t>грама</t>
  </si>
  <si>
    <t xml:space="preserve"> 1) Изчислява процентния дял на всяка съставка, спрямо количеството на основната съставка.
При тестените изделия основната съставка е брашното;</t>
  </si>
  <si>
    <t>1
2
3
4
5
6
7
8
9
10
11
12
13</t>
  </si>
  <si>
    <r>
      <t xml:space="preserve">При необходимост от използване на колоната </t>
    </r>
    <r>
      <rPr>
        <b/>
        <sz val="11"/>
        <color theme="6" tint="-0.499984740745262"/>
        <rFont val="Arial"/>
        <family val="2"/>
      </rPr>
      <t>„Обем“</t>
    </r>
    <r>
      <rPr>
        <sz val="11"/>
        <rFont val="Arial"/>
        <family val="2"/>
      </rPr>
      <t xml:space="preserve">, 
при работа с прозорците  </t>
    </r>
    <r>
      <rPr>
        <b/>
        <sz val="11"/>
        <color rgb="FF7030A0"/>
        <rFont val="Arial"/>
        <family val="2"/>
      </rPr>
      <t>„</t>
    </r>
    <r>
      <rPr>
        <b/>
        <u/>
        <sz val="11"/>
        <color rgb="FF7030A0"/>
        <rFont val="Arial"/>
        <family val="2"/>
      </rPr>
      <t>Произволно количество (II.2)</t>
    </r>
    <r>
      <rPr>
        <b/>
        <sz val="11"/>
        <color rgb="FF7030A0"/>
        <rFont val="Arial"/>
        <family val="2"/>
      </rPr>
      <t>“</t>
    </r>
    <r>
      <rPr>
        <sz val="11"/>
        <rFont val="Arial"/>
        <family val="2"/>
      </rPr>
      <t xml:space="preserve"> и </t>
    </r>
    <r>
      <rPr>
        <b/>
        <sz val="11"/>
        <color rgb="FF7030A0"/>
        <rFont val="Arial"/>
        <family val="2"/>
      </rPr>
      <t>„</t>
    </r>
    <r>
      <rPr>
        <b/>
        <u/>
        <sz val="11"/>
        <color rgb="FF7030A0"/>
        <rFont val="Arial"/>
        <family val="2"/>
      </rPr>
      <t>Ръчно въвеждане, (%)</t>
    </r>
    <r>
      <rPr>
        <b/>
        <sz val="11"/>
        <color rgb="FF7030A0"/>
        <rFont val="Arial"/>
        <family val="2"/>
      </rPr>
      <t>“</t>
    </r>
    <r>
      <rPr>
        <sz val="11"/>
        <rFont val="Arial"/>
        <family val="2"/>
      </rPr>
      <t xml:space="preserve">, е нужно:
- Съответният прозорец да бъде отключен;
- Да бъдат извършени необходимите промени в колоната </t>
    </r>
    <r>
      <rPr>
        <b/>
        <sz val="11"/>
        <color theme="6" tint="-0.499984740745262"/>
        <rFont val="Arial"/>
        <family val="2"/>
      </rPr>
      <t>„Обем“</t>
    </r>
    <r>
      <rPr>
        <sz val="11"/>
        <rFont val="Arial"/>
        <family val="2"/>
      </rPr>
      <t xml:space="preserve">;
- Прозорецът да бъде заключен;
</t>
    </r>
    <r>
      <rPr>
        <sz val="11"/>
        <color theme="3"/>
        <rFont val="Arial"/>
        <family val="2"/>
      </rPr>
      <t xml:space="preserve">
</t>
    </r>
    <r>
      <rPr>
        <sz val="11"/>
        <rFont val="Arial"/>
        <family val="2"/>
      </rPr>
      <t xml:space="preserve">- Отключване на всички прозорци (работни листове) на файла:
</t>
    </r>
    <r>
      <rPr>
        <sz val="11"/>
        <color rgb="FFFF0000"/>
        <rFont val="Arial"/>
        <family val="2"/>
      </rPr>
      <t>Alt + F8</t>
    </r>
    <r>
      <rPr>
        <sz val="11"/>
        <rFont val="Arial"/>
        <family val="2"/>
      </rPr>
      <t xml:space="preserve"> =&gt; Избор на макро </t>
    </r>
    <r>
      <rPr>
        <sz val="11"/>
        <color rgb="FFFF0000"/>
        <rFont val="Arial"/>
        <family val="2"/>
      </rPr>
      <t>UnprotectAndShowGrid</t>
    </r>
    <r>
      <rPr>
        <sz val="11"/>
        <rFont val="Arial"/>
        <family val="2"/>
      </rPr>
      <t xml:space="preserve"> =&gt; </t>
    </r>
    <r>
      <rPr>
        <sz val="11"/>
        <color rgb="FFFF0000"/>
        <rFont val="Arial"/>
        <family val="2"/>
      </rPr>
      <t>Run</t>
    </r>
    <r>
      <rPr>
        <sz val="11"/>
        <rFont val="Arial"/>
        <family val="2"/>
      </rPr>
      <t xml:space="preserve">;
- Заключване на всички прозорци (работни листове) на файла:
</t>
    </r>
    <r>
      <rPr>
        <sz val="11"/>
        <color rgb="FFFF0000"/>
        <rFont val="Arial"/>
        <family val="2"/>
      </rPr>
      <t>Alt + F8</t>
    </r>
    <r>
      <rPr>
        <sz val="11"/>
        <rFont val="Arial"/>
        <family val="2"/>
      </rPr>
      <t xml:space="preserve"> =&gt; Избор на макро </t>
    </r>
    <r>
      <rPr>
        <sz val="11"/>
        <color rgb="FFFF0000"/>
        <rFont val="Arial"/>
        <family val="2"/>
      </rPr>
      <t>ProtectAndHideGrid</t>
    </r>
    <r>
      <rPr>
        <sz val="11"/>
        <rFont val="Arial"/>
        <family val="2"/>
      </rPr>
      <t xml:space="preserve"> =&gt; </t>
    </r>
    <r>
      <rPr>
        <sz val="11"/>
        <color rgb="FFFF0000"/>
        <rFont val="Arial"/>
        <family val="2"/>
      </rPr>
      <t>Run</t>
    </r>
    <r>
      <rPr>
        <sz val="11"/>
        <rFont val="Arial"/>
        <family val="2"/>
      </rPr>
      <t>;</t>
    </r>
  </si>
  <si>
    <t>Допълнителни пояснения</t>
  </si>
  <si>
    <t>Тесто (изчисления)</t>
  </si>
  <si>
    <t>Тесто, (g)</t>
  </si>
  <si>
    <t>Части,
(брой)</t>
  </si>
  <si>
    <t>Резултат</t>
  </si>
  <si>
    <r>
      <t>Тесто</t>
    </r>
    <r>
      <rPr>
        <b/>
        <vertAlign val="superscript"/>
        <sz val="10"/>
        <color theme="1"/>
        <rFont val="Arial"/>
        <family val="2"/>
      </rPr>
      <t>1</t>
    </r>
    <r>
      <rPr>
        <b/>
        <sz val="10"/>
        <color theme="1"/>
        <rFont val="Arial"/>
        <family val="2"/>
      </rPr>
      <t>, (g)</t>
    </r>
  </si>
  <si>
    <r>
      <t>Тесто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, (g)</t>
    </r>
  </si>
  <si>
    <r>
      <t>Резултат</t>
    </r>
    <r>
      <rPr>
        <b/>
        <vertAlign val="superscript"/>
        <sz val="10"/>
        <color theme="1"/>
        <rFont val="Arial"/>
        <family val="2"/>
      </rPr>
      <t>1</t>
    </r>
  </si>
  <si>
    <r>
      <t>Резултат</t>
    </r>
    <r>
      <rPr>
        <b/>
        <vertAlign val="superscript"/>
        <sz val="10"/>
        <color theme="1"/>
        <rFont val="Arial"/>
        <family val="2"/>
      </rPr>
      <t>2</t>
    </r>
  </si>
  <si>
    <t>x</t>
  </si>
  <si>
    <t>+</t>
  </si>
  <si>
    <t>въвеждане на текст</t>
  </si>
  <si>
    <t>търсена стойност</t>
  </si>
  <si>
    <t>Тесто
(изчисления)</t>
  </si>
  <si>
    <t>Изчислява колко ще тежи една отделна част от цялото тесто, по дадени:</t>
  </si>
  <si>
    <t>1) Тегло на цялото тесто; 2) Брой на частите, на които се дели цялото тесто;</t>
  </si>
  <si>
    <t>... Други прости изчисления ...</t>
  </si>
  <si>
    <t>Въвеждат се съставките и техните количества по дадена рецепта - за 1 доза … :</t>
  </si>
  <si>
    <t>Въвеждат се съставките и техните количества по дадена рецепта. 
Те автоматично се пренасят в съответните колони на останалите таблици от същия прозорец … :</t>
  </si>
  <si>
    <r>
      <t xml:space="preserve">/ Съставките и процентният им дял автоматично се пренасят 
към прозореца </t>
    </r>
    <r>
      <rPr>
        <b/>
        <sz val="11"/>
        <color rgb="FF7030A0"/>
        <rFont val="Arial"/>
        <family val="2"/>
      </rPr>
      <t>„</t>
    </r>
    <r>
      <rPr>
        <b/>
        <u/>
        <sz val="11"/>
        <color rgb="FF7030A0"/>
        <rFont val="Arial"/>
        <family val="2"/>
      </rPr>
      <t>Произволно количество (II.2)</t>
    </r>
    <r>
      <rPr>
        <b/>
        <sz val="11"/>
        <color rgb="FF7030A0"/>
        <rFont val="Arial"/>
        <family val="2"/>
      </rPr>
      <t>“</t>
    </r>
    <r>
      <rPr>
        <b/>
        <sz val="11"/>
        <color theme="3"/>
        <rFont val="Arial"/>
        <family val="2"/>
      </rPr>
      <t xml:space="preserve"> /</t>
    </r>
  </si>
  <si>
    <r>
      <t xml:space="preserve">/ Съставките и процентният им дял са пренесени автоматично 
от прозорец </t>
    </r>
    <r>
      <rPr>
        <b/>
        <sz val="11"/>
        <color rgb="FF7030A0"/>
        <rFont val="Arial"/>
        <family val="2"/>
      </rPr>
      <t>„</t>
    </r>
    <r>
      <rPr>
        <b/>
        <u/>
        <sz val="11"/>
        <color rgb="FF7030A0"/>
        <rFont val="Arial"/>
        <family val="2"/>
      </rPr>
      <t>За 1 доза (I.2)</t>
    </r>
    <r>
      <rPr>
        <b/>
        <sz val="11"/>
        <color rgb="FF7030A0"/>
        <rFont val="Arial"/>
        <family val="2"/>
      </rPr>
      <t>“</t>
    </r>
    <r>
      <rPr>
        <b/>
        <sz val="11"/>
        <color theme="3"/>
        <rFont val="Arial"/>
        <family val="2"/>
      </rPr>
      <t xml:space="preserve"> /</t>
    </r>
  </si>
  <si>
    <r>
      <t xml:space="preserve">Извършва същите пресмятания, както калкулатора от прозорец </t>
    </r>
    <r>
      <rPr>
        <b/>
        <sz val="11"/>
        <color rgb="FF7030A0"/>
        <rFont val="Arial"/>
        <family val="2"/>
      </rPr>
      <t>„</t>
    </r>
    <r>
      <rPr>
        <b/>
        <u/>
        <sz val="11"/>
        <color rgb="FF7030A0"/>
        <rFont val="Arial"/>
        <family val="2"/>
      </rPr>
      <t>Произволно количество II.2</t>
    </r>
    <r>
      <rPr>
        <b/>
        <sz val="11"/>
        <color rgb="FF7030A0"/>
        <rFont val="Arial"/>
        <family val="2"/>
      </rPr>
      <t>“</t>
    </r>
    <r>
      <rPr>
        <sz val="11"/>
        <color theme="1"/>
        <rFont val="Arial"/>
        <family val="2"/>
      </rPr>
      <t>, 
с тази разлика, че съставките и процентният им дял се въвеждат ръчно;</t>
    </r>
  </si>
  <si>
    <t>Калкулаторът би могъл да се използва, например, при разглеждане на пакетиран продукт, 
върху чиято опаковка са посочени съставките като процент от теглото на продукта … :</t>
  </si>
  <si>
    <t>* Версия на файла: form-0.5.4-desktop / Паролата за премахване на защитите на файла е: 0000 ;</t>
  </si>
  <si>
    <t>VII</t>
  </si>
  <si>
    <t>* Версия на рецептата: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</si>
</sst>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&quot; g&quot;"/>
    <numFmt numFmtId="166" formatCode="0.0"/>
  </numFmts>
  <fonts count="10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u val="double"/>
      <sz val="11"/>
      <color theme="1"/>
      <name val="Arial"/>
      <family val="2"/>
    </font>
    <font>
      <sz val="11"/>
      <color theme="1"/>
      <name val="Cambria"/>
      <family val="1"/>
      <scheme val="major"/>
    </font>
    <font>
      <u val="double"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u/>
      <sz val="11"/>
      <name val="Cambria"/>
      <family val="1"/>
      <scheme val="major"/>
    </font>
    <font>
      <b/>
      <sz val="10"/>
      <name val="Cambria"/>
      <family val="1"/>
      <scheme val="major"/>
    </font>
    <font>
      <b/>
      <u val="double"/>
      <sz val="13"/>
      <color theme="1"/>
      <name val="Arial"/>
      <family val="2"/>
    </font>
    <font>
      <b/>
      <u/>
      <sz val="8"/>
      <color theme="1"/>
      <name val="Arial"/>
      <family val="2"/>
    </font>
    <font>
      <b/>
      <i/>
      <u/>
      <sz val="11"/>
      <name val="Arial"/>
      <family val="2"/>
    </font>
    <font>
      <b/>
      <sz val="11"/>
      <name val="Arial"/>
      <family val="2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b/>
      <sz val="8"/>
      <color indexed="10"/>
      <name val="Tahoma"/>
      <family val="2"/>
    </font>
    <font>
      <sz val="11"/>
      <color rgb="FFC00000"/>
      <name val="Arial"/>
      <family val="2"/>
    </font>
    <font>
      <sz val="11"/>
      <color rgb="FFC00000"/>
      <name val="Cambria"/>
      <family val="1"/>
      <scheme val="major"/>
    </font>
    <font>
      <sz val="11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1"/>
      <color theme="3" tint="-0.249977111117893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 val="double"/>
      <sz val="20"/>
      <name val="Cambria"/>
      <family val="1"/>
      <scheme val="major"/>
    </font>
    <font>
      <b/>
      <u val="double"/>
      <sz val="15"/>
      <color rgb="FFC00000"/>
      <name val="Cambria"/>
      <family val="1"/>
      <scheme val="major"/>
    </font>
    <font>
      <u/>
      <sz val="10"/>
      <color theme="10"/>
      <name val="Arial"/>
      <family val="2"/>
    </font>
    <font>
      <sz val="10"/>
      <color rgb="FFC00000"/>
      <name val="Cambria"/>
      <family val="1"/>
      <scheme val="major"/>
    </font>
    <font>
      <b/>
      <sz val="14"/>
      <color theme="4" tint="-0.249977111117893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24"/>
      <color rgb="FFC00000"/>
      <name val="Cambria"/>
      <family val="1"/>
      <scheme val="major"/>
    </font>
    <font>
      <b/>
      <i/>
      <sz val="11"/>
      <name val="Arial"/>
      <family val="2"/>
    </font>
    <font>
      <b/>
      <u/>
      <sz val="14"/>
      <color rgb="FFC00000"/>
      <name val="Arial"/>
      <family val="2"/>
    </font>
    <font>
      <sz val="11"/>
      <color rgb="FFFF0000"/>
      <name val="Arial"/>
      <family val="2"/>
    </font>
    <font>
      <u/>
      <sz val="11"/>
      <color theme="1"/>
      <name val="Arial"/>
      <family val="2"/>
    </font>
    <font>
      <sz val="11"/>
      <color theme="6" tint="-0.249977111117893"/>
      <name val="Arial"/>
      <family val="2"/>
    </font>
    <font>
      <b/>
      <sz val="11"/>
      <name val="Cambria"/>
      <family val="1"/>
      <scheme val="major"/>
    </font>
    <font>
      <b/>
      <i/>
      <sz val="11"/>
      <color theme="6" tint="-0.499984740745262"/>
      <name val="Arial"/>
      <family val="2"/>
    </font>
    <font>
      <b/>
      <sz val="11"/>
      <color theme="3"/>
      <name val="Arial"/>
      <family val="2"/>
    </font>
    <font>
      <b/>
      <u/>
      <sz val="11"/>
      <color rgb="FF7030A0"/>
      <name val="Arial"/>
      <family val="2"/>
    </font>
    <font>
      <b/>
      <i/>
      <sz val="12"/>
      <color theme="9" tint="-0.249977111117893"/>
      <name val="Arial"/>
      <family val="2"/>
    </font>
    <font>
      <b/>
      <sz val="11"/>
      <color theme="0"/>
      <name val="MS Reference Sans Serif"/>
      <family val="2"/>
    </font>
    <font>
      <b/>
      <sz val="12"/>
      <color rgb="FFC00000"/>
      <name val="Arial"/>
      <family val="2"/>
    </font>
    <font>
      <b/>
      <sz val="11"/>
      <color rgb="FFC00000"/>
      <name val="Arial"/>
      <family val="2"/>
    </font>
    <font>
      <b/>
      <sz val="8"/>
      <color theme="1"/>
      <name val="Arial"/>
      <family val="2"/>
    </font>
    <font>
      <b/>
      <sz val="28"/>
      <color rgb="FFC00000"/>
      <name val="Cambria"/>
      <family val="1"/>
      <scheme val="major"/>
    </font>
    <font>
      <sz val="11"/>
      <name val="Cambria"/>
      <family val="1"/>
      <scheme val="major"/>
    </font>
    <font>
      <b/>
      <sz val="12"/>
      <color theme="1"/>
      <name val="Arial"/>
      <family val="2"/>
    </font>
    <font>
      <b/>
      <sz val="11"/>
      <color rgb="FF7030A0"/>
      <name val="Arial"/>
      <family val="2"/>
    </font>
    <font>
      <b/>
      <sz val="24"/>
      <color rgb="FF7030A0"/>
      <name val="Cambria"/>
      <family val="1"/>
      <scheme val="major"/>
    </font>
    <font>
      <b/>
      <u/>
      <sz val="11"/>
      <color theme="0"/>
      <name val="Cambria"/>
      <family val="1"/>
      <scheme val="major"/>
    </font>
    <font>
      <b/>
      <u/>
      <sz val="13"/>
      <name val="Arial"/>
      <family val="2"/>
    </font>
    <font>
      <b/>
      <u/>
      <sz val="13"/>
      <color theme="1"/>
      <name val="Arial"/>
      <family val="2"/>
    </font>
    <font>
      <b/>
      <u/>
      <sz val="12"/>
      <color theme="1"/>
      <name val="Arial"/>
      <family val="2"/>
    </font>
    <font>
      <b/>
      <sz val="12"/>
      <color theme="0"/>
      <name val="Arial"/>
      <family val="2"/>
    </font>
    <font>
      <sz val="10"/>
      <name val="Cambria"/>
      <family val="1"/>
      <scheme val="major"/>
    </font>
    <font>
      <sz val="10"/>
      <color rgb="FFFF0000"/>
      <name val="Cambria"/>
      <family val="1"/>
      <scheme val="major"/>
    </font>
    <font>
      <sz val="10"/>
      <name val="Arial"/>
      <family val="2"/>
    </font>
    <font>
      <i/>
      <sz val="11"/>
      <color theme="6" tint="-0.249977111117893"/>
      <name val="Arial"/>
      <family val="2"/>
    </font>
    <font>
      <b/>
      <u/>
      <sz val="14"/>
      <color theme="4" tint="-0.249977111117893"/>
      <name val="Arial"/>
      <family val="2"/>
    </font>
    <font>
      <b/>
      <u/>
      <sz val="14"/>
      <color theme="6" tint="-0.249977111117893"/>
      <name val="Arial"/>
      <family val="2"/>
    </font>
    <font>
      <b/>
      <sz val="11"/>
      <color theme="6" tint="-0.249977111117893"/>
      <name val="Arial"/>
      <family val="2"/>
    </font>
    <font>
      <b/>
      <u val="double"/>
      <sz val="11"/>
      <color rgb="FFFF0000"/>
      <name val="Arial"/>
      <family val="2"/>
    </font>
    <font>
      <b/>
      <sz val="18"/>
      <color rgb="FFFF0000"/>
      <name val="Cambria"/>
      <family val="1"/>
      <scheme val="major"/>
    </font>
    <font>
      <sz val="11"/>
      <color theme="3"/>
      <name val="Arial"/>
      <family val="2"/>
    </font>
    <font>
      <i/>
      <sz val="11"/>
      <name val="Arial"/>
      <family val="2"/>
    </font>
    <font>
      <i/>
      <u/>
      <sz val="11"/>
      <name val="Arial"/>
      <family val="2"/>
    </font>
    <font>
      <b/>
      <i/>
      <sz val="12"/>
      <color theme="1"/>
      <name val="Cambria"/>
      <family val="1"/>
      <scheme val="major"/>
    </font>
    <font>
      <b/>
      <sz val="28"/>
      <color rgb="FFC00000"/>
      <name val="Wingdings 3"/>
      <family val="1"/>
      <charset val="2"/>
    </font>
    <font>
      <b/>
      <sz val="11"/>
      <color theme="6" tint="-0.499984740745262"/>
      <name val="Arial"/>
      <family val="2"/>
    </font>
    <font>
      <i/>
      <sz val="9"/>
      <color theme="1"/>
      <name val="Arial"/>
      <family val="2"/>
    </font>
    <font>
      <b/>
      <u/>
      <sz val="10"/>
      <color theme="1"/>
      <name val="Arial"/>
      <family val="2"/>
    </font>
    <font>
      <b/>
      <sz val="32"/>
      <color rgb="FFC00000"/>
      <name val="Wingdings 3"/>
      <family val="1"/>
      <charset val="2"/>
    </font>
    <font>
      <b/>
      <u/>
      <sz val="12"/>
      <color rgb="FFFF0000"/>
      <name val="Arial"/>
      <family val="2"/>
    </font>
    <font>
      <b/>
      <u/>
      <sz val="14"/>
      <color rgb="FF7030A0"/>
      <name val="Arial"/>
      <family val="2"/>
    </font>
    <font>
      <b/>
      <u/>
      <sz val="14"/>
      <color theme="1"/>
      <name val="Cambria"/>
      <family val="1"/>
    </font>
    <font>
      <b/>
      <u val="double"/>
      <sz val="14"/>
      <color theme="1"/>
      <name val="Cambria"/>
      <family val="1"/>
    </font>
    <font>
      <sz val="10"/>
      <color rgb="FF7030A0"/>
      <name val="Arial"/>
      <family val="2"/>
    </font>
    <font>
      <b/>
      <vertAlign val="superscript"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7030A0"/>
      <name val="Arial"/>
      <family val="2"/>
    </font>
    <font>
      <b/>
      <u val="double"/>
      <sz val="10"/>
      <color theme="1"/>
      <name val="Arial"/>
      <family val="2"/>
    </font>
    <font>
      <sz val="10"/>
      <name val="Arial"/>
      <charset val="204"/>
    </font>
    <font>
      <b/>
      <u/>
      <sz val="11"/>
      <name val="Cambria"/>
      <family val="1"/>
    </font>
    <font>
      <b/>
      <sz val="10"/>
      <name val="Cambria"/>
      <family val="1"/>
    </font>
    <font>
      <b/>
      <sz val="22"/>
      <color rgb="FFC00000"/>
      <name val="Cambria"/>
      <family val="1"/>
      <scheme val="major"/>
    </font>
    <font>
      <b/>
      <sz val="22"/>
      <color rgb="FF7030A0"/>
      <name val="Cambria"/>
      <family val="1"/>
      <scheme val="major"/>
    </font>
    <font>
      <i/>
      <sz val="11"/>
      <color theme="4" tint="-0.24997711111789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C66"/>
        <bgColor indexed="64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/>
      <bottom style="thick">
        <color rgb="FF7030A0"/>
      </bottom>
      <diagonal/>
    </border>
    <border>
      <left/>
      <right/>
      <top/>
      <bottom style="thick">
        <color theme="7" tint="-0.249977111117893"/>
      </bottom>
      <diagonal/>
    </border>
    <border>
      <left/>
      <right style="dashed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mediumDashDotDot">
        <color auto="1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 style="thick">
        <color theme="5" tint="-0.24994659260841701"/>
      </bottom>
      <diagonal/>
    </border>
    <border>
      <left/>
      <right style="thick">
        <color theme="5" tint="-0.24994659260841701"/>
      </right>
      <top style="thick">
        <color theme="5" tint="-0.24994659260841701"/>
      </top>
      <bottom style="thick">
        <color theme="5" tint="-0.2499465926084170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00000"/>
      </left>
      <right/>
      <top style="thick">
        <color rgb="FFC00000"/>
      </top>
      <bottom style="thick">
        <color rgb="FFC00000"/>
      </bottom>
      <diagonal/>
    </border>
    <border>
      <left/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thick">
        <color theme="5" tint="-0.24994659260841701"/>
      </top>
      <bottom/>
      <diagonal/>
    </border>
  </borders>
  <cellStyleXfs count="12">
    <xf numFmtId="0" fontId="0" fillId="0" borderId="0"/>
    <xf numFmtId="0" fontId="38" fillId="0" borderId="0"/>
    <xf numFmtId="0" fontId="41" fillId="0" borderId="0" applyNumberFormat="0" applyFill="0" applyBorder="0" applyAlignment="0" applyProtection="0"/>
    <xf numFmtId="0" fontId="10" fillId="0" borderId="0"/>
    <xf numFmtId="9" fontId="44" fillId="0" borderId="0" applyFont="0" applyFill="0" applyBorder="0" applyAlignment="0" applyProtection="0"/>
    <xf numFmtId="0" fontId="38" fillId="0" borderId="0"/>
    <xf numFmtId="0" fontId="9" fillId="0" borderId="0"/>
    <xf numFmtId="0" fontId="6" fillId="0" borderId="0"/>
    <xf numFmtId="0" fontId="73" fillId="0" borderId="0"/>
    <xf numFmtId="0" fontId="6" fillId="0" borderId="0"/>
    <xf numFmtId="0" fontId="2" fillId="0" borderId="0"/>
    <xf numFmtId="0" fontId="98" fillId="0" borderId="0"/>
  </cellStyleXfs>
  <cellXfs count="494">
    <xf numFmtId="0" fontId="0" fillId="0" borderId="0" xfId="0"/>
    <xf numFmtId="0" fontId="15" fillId="0" borderId="0" xfId="0" applyFont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/>
    </xf>
    <xf numFmtId="164" fontId="15" fillId="0" borderId="7" xfId="0" applyNumberFormat="1" applyFont="1" applyBorder="1" applyAlignment="1" applyProtection="1">
      <alignment horizontal="center" vertical="center"/>
    </xf>
    <xf numFmtId="1" fontId="15" fillId="0" borderId="7" xfId="0" applyNumberFormat="1" applyFont="1" applyBorder="1" applyAlignment="1" applyProtection="1">
      <alignment horizontal="center" vertical="center"/>
    </xf>
    <xf numFmtId="1" fontId="15" fillId="0" borderId="9" xfId="0" applyNumberFormat="1" applyFont="1" applyBorder="1" applyAlignment="1" applyProtection="1">
      <alignment horizontal="center" vertical="center"/>
    </xf>
    <xf numFmtId="49" fontId="15" fillId="0" borderId="11" xfId="0" applyNumberFormat="1" applyFont="1" applyFill="1" applyBorder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/>
    </xf>
    <xf numFmtId="164" fontId="15" fillId="0" borderId="9" xfId="0" applyNumberFormat="1" applyFont="1" applyBorder="1" applyAlignment="1" applyProtection="1">
      <alignment horizontal="center" vertical="center"/>
    </xf>
    <xf numFmtId="49" fontId="19" fillId="3" borderId="20" xfId="0" applyNumberFormat="1" applyFont="1" applyFill="1" applyBorder="1" applyAlignment="1" applyProtection="1">
      <alignment horizontal="center" vertical="justify"/>
      <protection locked="0"/>
    </xf>
    <xf numFmtId="49" fontId="19" fillId="3" borderId="21" xfId="0" applyNumberFormat="1" applyFont="1" applyFill="1" applyBorder="1" applyAlignment="1" applyProtection="1">
      <alignment horizontal="center" vertical="justify"/>
      <protection locked="0"/>
    </xf>
    <xf numFmtId="166" fontId="13" fillId="2" borderId="1" xfId="0" applyNumberFormat="1" applyFont="1" applyFill="1" applyBorder="1" applyAlignment="1" applyProtection="1">
      <alignment horizontal="center" vertical="justify"/>
      <protection locked="0"/>
    </xf>
    <xf numFmtId="49" fontId="13" fillId="3" borderId="23" xfId="0" applyNumberFormat="1" applyFont="1" applyFill="1" applyBorder="1" applyAlignment="1" applyProtection="1">
      <alignment horizontal="center" vertical="justify"/>
      <protection locked="0"/>
    </xf>
    <xf numFmtId="166" fontId="14" fillId="2" borderId="1" xfId="0" applyNumberFormat="1" applyFont="1" applyFill="1" applyBorder="1" applyAlignment="1" applyProtection="1">
      <alignment horizontal="center" vertical="justify"/>
      <protection locked="0"/>
    </xf>
    <xf numFmtId="49" fontId="14" fillId="3" borderId="23" xfId="0" applyNumberFormat="1" applyFont="1" applyFill="1" applyBorder="1" applyAlignment="1" applyProtection="1">
      <alignment horizontal="center" vertical="justify"/>
      <protection locked="0"/>
    </xf>
    <xf numFmtId="166" fontId="14" fillId="2" borderId="2" xfId="0" applyNumberFormat="1" applyFont="1" applyFill="1" applyBorder="1" applyAlignment="1" applyProtection="1">
      <alignment horizontal="center" vertical="justify"/>
      <protection locked="0"/>
    </xf>
    <xf numFmtId="49" fontId="14" fillId="3" borderId="24" xfId="0" applyNumberFormat="1" applyFont="1" applyFill="1" applyBorder="1" applyAlignment="1" applyProtection="1">
      <alignment horizontal="center" vertical="justify"/>
      <protection locked="0"/>
    </xf>
    <xf numFmtId="0" fontId="19" fillId="0" borderId="20" xfId="0" applyNumberFormat="1" applyFont="1" applyFill="1" applyBorder="1" applyAlignment="1" applyProtection="1">
      <alignment horizontal="center" vertical="justify"/>
    </xf>
    <xf numFmtId="0" fontId="0" fillId="0" borderId="20" xfId="0" applyNumberFormat="1" applyFont="1" applyFill="1" applyBorder="1" applyAlignment="1" applyProtection="1">
      <alignment horizontal="center" vertical="justify"/>
    </xf>
    <xf numFmtId="0" fontId="19" fillId="0" borderId="21" xfId="0" applyNumberFormat="1" applyFont="1" applyFill="1" applyBorder="1" applyAlignment="1" applyProtection="1">
      <alignment horizontal="center" vertical="justify"/>
    </xf>
    <xf numFmtId="0" fontId="0" fillId="0" borderId="0" xfId="0" applyProtection="1"/>
    <xf numFmtId="0" fontId="14" fillId="0" borderId="7" xfId="0" applyNumberFormat="1" applyFont="1" applyFill="1" applyBorder="1" applyAlignment="1" applyProtection="1">
      <alignment horizontal="center" vertical="justify"/>
    </xf>
    <xf numFmtId="0" fontId="14" fillId="0" borderId="9" xfId="0" applyNumberFormat="1" applyFont="1" applyFill="1" applyBorder="1" applyAlignment="1" applyProtection="1">
      <alignment horizontal="center" vertical="justify"/>
    </xf>
    <xf numFmtId="49" fontId="12" fillId="3" borderId="23" xfId="0" applyNumberFormat="1" applyFont="1" applyFill="1" applyBorder="1" applyAlignment="1" applyProtection="1">
      <alignment horizontal="center" vertical="justify"/>
      <protection locked="0"/>
    </xf>
    <xf numFmtId="0" fontId="19" fillId="0" borderId="0" xfId="0" applyFont="1" applyBorder="1" applyAlignment="1" applyProtection="1">
      <alignment horizontal="center" vertical="center"/>
    </xf>
    <xf numFmtId="0" fontId="0" fillId="0" borderId="0" xfId="0" applyBorder="1" applyProtection="1"/>
    <xf numFmtId="0" fontId="19" fillId="0" borderId="1" xfId="0" applyNumberFormat="1" applyFont="1" applyFill="1" applyBorder="1" applyAlignment="1" applyProtection="1">
      <alignment horizontal="center" vertical="justify"/>
    </xf>
    <xf numFmtId="164" fontId="15" fillId="0" borderId="6" xfId="0" applyNumberFormat="1" applyFont="1" applyFill="1" applyBorder="1" applyAlignment="1" applyProtection="1">
      <alignment horizontal="center" vertical="center"/>
    </xf>
    <xf numFmtId="0" fontId="19" fillId="0" borderId="2" xfId="0" applyNumberFormat="1" applyFont="1" applyFill="1" applyBorder="1" applyAlignment="1" applyProtection="1">
      <alignment horizontal="center" vertical="justify"/>
    </xf>
    <xf numFmtId="164" fontId="15" fillId="0" borderId="8" xfId="0" applyNumberFormat="1" applyFont="1" applyFill="1" applyBorder="1" applyAlignment="1" applyProtection="1">
      <alignment horizontal="center" vertical="center"/>
    </xf>
    <xf numFmtId="49" fontId="15" fillId="0" borderId="12" xfId="0" applyNumberFormat="1" applyFont="1" applyBorder="1" applyAlignment="1" applyProtection="1">
      <alignment horizontal="center" vertical="center"/>
    </xf>
    <xf numFmtId="1" fontId="15" fillId="2" borderId="36" xfId="0" applyNumberFormat="1" applyFont="1" applyFill="1" applyBorder="1" applyAlignment="1" applyProtection="1">
      <alignment horizontal="center" vertical="center"/>
      <protection locked="0"/>
    </xf>
    <xf numFmtId="1" fontId="13" fillId="2" borderId="36" xfId="0" applyNumberFormat="1" applyFont="1" applyFill="1" applyBorder="1" applyAlignment="1" applyProtection="1">
      <alignment horizontal="center" vertical="center"/>
      <protection locked="0"/>
    </xf>
    <xf numFmtId="1" fontId="15" fillId="2" borderId="37" xfId="0" applyNumberFormat="1" applyFont="1" applyFill="1" applyBorder="1" applyAlignment="1" applyProtection="1">
      <alignment horizontal="center" vertical="center"/>
      <protection locked="0"/>
    </xf>
    <xf numFmtId="166" fontId="14" fillId="0" borderId="13" xfId="0" applyNumberFormat="1" applyFont="1" applyFill="1" applyBorder="1" applyAlignment="1" applyProtection="1">
      <alignment horizontal="center" vertical="justify"/>
    </xf>
    <xf numFmtId="166" fontId="14" fillId="0" borderId="14" xfId="0" applyNumberFormat="1" applyFont="1" applyFill="1" applyBorder="1" applyAlignment="1" applyProtection="1">
      <alignment horizontal="center" vertical="justify"/>
    </xf>
    <xf numFmtId="165" fontId="15" fillId="0" borderId="36" xfId="0" applyNumberFormat="1" applyFont="1" applyBorder="1" applyAlignment="1" applyProtection="1">
      <alignment horizontal="center" vertical="center"/>
    </xf>
    <xf numFmtId="165" fontId="15" fillId="0" borderId="37" xfId="0" applyNumberFormat="1" applyFont="1" applyBorder="1" applyAlignment="1" applyProtection="1">
      <alignment horizontal="center" vertical="center"/>
    </xf>
    <xf numFmtId="166" fontId="26" fillId="2" borderId="10" xfId="0" applyNumberFormat="1" applyFont="1" applyFill="1" applyBorder="1" applyAlignment="1" applyProtection="1">
      <alignment horizontal="center" vertical="center"/>
      <protection locked="0"/>
    </xf>
    <xf numFmtId="1" fontId="27" fillId="2" borderId="4" xfId="0" applyNumberFormat="1" applyFont="1" applyFill="1" applyBorder="1" applyAlignment="1" applyProtection="1">
      <alignment horizontal="center" vertical="center"/>
      <protection locked="0"/>
    </xf>
    <xf numFmtId="164" fontId="15" fillId="2" borderId="6" xfId="0" applyNumberFormat="1" applyFont="1" applyFill="1" applyBorder="1" applyAlignment="1" applyProtection="1">
      <alignment horizontal="center" vertical="center"/>
      <protection locked="0"/>
    </xf>
    <xf numFmtId="164" fontId="15" fillId="2" borderId="8" xfId="0" applyNumberFormat="1" applyFont="1" applyFill="1" applyBorder="1" applyAlignment="1" applyProtection="1">
      <alignment horizontal="center" vertical="center"/>
      <protection locked="0"/>
    </xf>
    <xf numFmtId="0" fontId="19" fillId="3" borderId="1" xfId="0" applyNumberFormat="1" applyFont="1" applyFill="1" applyBorder="1" applyAlignment="1" applyProtection="1">
      <alignment horizontal="center" vertical="justify"/>
      <protection locked="0"/>
    </xf>
    <xf numFmtId="0" fontId="19" fillId="3" borderId="2" xfId="0" applyNumberFormat="1" applyFont="1" applyFill="1" applyBorder="1" applyAlignment="1" applyProtection="1">
      <alignment horizontal="center" vertical="justify"/>
      <protection locked="0"/>
    </xf>
    <xf numFmtId="0" fontId="0" fillId="0" borderId="40" xfId="0" applyBorder="1" applyProtection="1"/>
    <xf numFmtId="0" fontId="0" fillId="0" borderId="39" xfId="0" applyBorder="1" applyProtection="1"/>
    <xf numFmtId="1" fontId="15" fillId="2" borderId="6" xfId="0" applyNumberFormat="1" applyFont="1" applyFill="1" applyBorder="1" applyAlignment="1" applyProtection="1">
      <alignment horizontal="center" vertical="center"/>
      <protection locked="0"/>
    </xf>
    <xf numFmtId="1" fontId="15" fillId="2" borderId="8" xfId="0" applyNumberFormat="1" applyFont="1" applyFill="1" applyBorder="1" applyAlignment="1" applyProtection="1">
      <alignment horizontal="center" vertical="center"/>
      <protection locked="0"/>
    </xf>
    <xf numFmtId="1" fontId="15" fillId="0" borderId="7" xfId="0" applyNumberFormat="1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1" fontId="31" fillId="2" borderId="35" xfId="0" applyNumberFormat="1" applyFont="1" applyFill="1" applyBorder="1" applyAlignment="1" applyProtection="1">
      <alignment horizontal="center" vertical="center"/>
      <protection locked="0"/>
    </xf>
    <xf numFmtId="49" fontId="32" fillId="3" borderId="25" xfId="0" applyNumberFormat="1" applyFont="1" applyFill="1" applyBorder="1" applyAlignment="1" applyProtection="1">
      <alignment horizontal="center" vertical="justify"/>
      <protection locked="0"/>
    </xf>
    <xf numFmtId="49" fontId="32" fillId="0" borderId="1" xfId="0" applyNumberFormat="1" applyFont="1" applyFill="1" applyBorder="1" applyAlignment="1" applyProtection="1">
      <alignment horizontal="center" vertical="justify"/>
    </xf>
    <xf numFmtId="165" fontId="31" fillId="0" borderId="35" xfId="0" applyNumberFormat="1" applyFont="1" applyBorder="1" applyAlignment="1" applyProtection="1">
      <alignment horizontal="center" vertical="center"/>
    </xf>
    <xf numFmtId="1" fontId="31" fillId="0" borderId="12" xfId="0" applyNumberFormat="1" applyFont="1" applyBorder="1" applyAlignment="1" applyProtection="1">
      <alignment horizontal="center" vertical="center"/>
    </xf>
    <xf numFmtId="49" fontId="32" fillId="3" borderId="1" xfId="0" applyNumberFormat="1" applyFont="1" applyFill="1" applyBorder="1" applyAlignment="1" applyProtection="1">
      <alignment horizontal="center" vertical="justify"/>
      <protection locked="0"/>
    </xf>
    <xf numFmtId="49" fontId="32" fillId="3" borderId="30" xfId="0" applyNumberFormat="1" applyFont="1" applyFill="1" applyBorder="1" applyAlignment="1" applyProtection="1">
      <alignment horizontal="center" vertical="justify"/>
      <protection locked="0"/>
    </xf>
    <xf numFmtId="164" fontId="31" fillId="2" borderId="11" xfId="0" applyNumberFormat="1" applyFont="1" applyFill="1" applyBorder="1" applyAlignment="1" applyProtection="1">
      <alignment horizontal="center" vertical="center"/>
      <protection locked="0"/>
    </xf>
    <xf numFmtId="1" fontId="31" fillId="0" borderId="12" xfId="0" applyNumberFormat="1" applyFont="1" applyFill="1" applyBorder="1" applyAlignment="1" applyProtection="1">
      <alignment horizontal="center" vertical="center"/>
    </xf>
    <xf numFmtId="1" fontId="31" fillId="2" borderId="11" xfId="0" applyNumberFormat="1" applyFont="1" applyFill="1" applyBorder="1" applyAlignment="1" applyProtection="1">
      <alignment horizontal="center" vertical="center"/>
      <protection locked="0"/>
    </xf>
    <xf numFmtId="164" fontId="31" fillId="0" borderId="12" xfId="0" applyNumberFormat="1" applyFont="1" applyBorder="1" applyAlignment="1" applyProtection="1">
      <alignment horizontal="center" vertical="center"/>
    </xf>
    <xf numFmtId="0" fontId="19" fillId="3" borderId="20" xfId="0" applyFont="1" applyFill="1" applyBorder="1" applyAlignment="1" applyProtection="1">
      <alignment horizontal="center" vertical="justify"/>
      <protection locked="0"/>
    </xf>
    <xf numFmtId="0" fontId="11" fillId="0" borderId="0" xfId="0" applyFont="1" applyBorder="1" applyAlignment="1" applyProtection="1">
      <alignment horizontal="center" vertical="center"/>
    </xf>
    <xf numFmtId="0" fontId="18" fillId="0" borderId="0" xfId="0" applyFont="1" applyBorder="1" applyAlignment="1" applyProtection="1">
      <alignment horizontal="center" vertical="center"/>
    </xf>
    <xf numFmtId="1" fontId="16" fillId="0" borderId="0" xfId="0" applyNumberFormat="1" applyFont="1" applyBorder="1" applyAlignment="1" applyProtection="1">
      <alignment horizontal="center" vertical="center"/>
    </xf>
    <xf numFmtId="49" fontId="11" fillId="0" borderId="11" xfId="0" applyNumberFormat="1" applyFont="1" applyFill="1" applyBorder="1" applyAlignment="1" applyProtection="1">
      <alignment horizontal="center" vertical="center"/>
    </xf>
    <xf numFmtId="1" fontId="11" fillId="0" borderId="7" xfId="0" applyNumberFormat="1" applyFont="1" applyBorder="1" applyAlignment="1" applyProtection="1">
      <alignment horizontal="center" vertical="center"/>
    </xf>
    <xf numFmtId="1" fontId="11" fillId="0" borderId="9" xfId="0" applyNumberFormat="1" applyFont="1" applyBorder="1" applyAlignment="1" applyProtection="1">
      <alignment horizontal="center" vertical="center"/>
    </xf>
    <xf numFmtId="1" fontId="17" fillId="0" borderId="0" xfId="0" applyNumberFormat="1" applyFont="1" applyBorder="1" applyAlignment="1" applyProtection="1">
      <alignment horizontal="center" vertical="center"/>
    </xf>
    <xf numFmtId="0" fontId="15" fillId="0" borderId="39" xfId="0" applyFont="1" applyBorder="1" applyAlignment="1" applyProtection="1">
      <alignment horizontal="center" vertical="center"/>
    </xf>
    <xf numFmtId="49" fontId="19" fillId="0" borderId="1" xfId="0" applyNumberFormat="1" applyFont="1" applyFill="1" applyBorder="1" applyAlignment="1" applyProtection="1">
      <alignment horizontal="center" vertical="justify"/>
    </xf>
    <xf numFmtId="164" fontId="11" fillId="0" borderId="6" xfId="0" applyNumberFormat="1" applyFont="1" applyFill="1" applyBorder="1" applyAlignment="1" applyProtection="1">
      <alignment horizontal="center" vertical="center"/>
    </xf>
    <xf numFmtId="164" fontId="11" fillId="0" borderId="8" xfId="0" applyNumberFormat="1" applyFont="1" applyFill="1" applyBorder="1" applyAlignment="1" applyProtection="1">
      <alignment horizontal="center" vertical="center"/>
    </xf>
    <xf numFmtId="166" fontId="31" fillId="2" borderId="30" xfId="0" applyNumberFormat="1" applyFont="1" applyFill="1" applyBorder="1" applyAlignment="1" applyProtection="1">
      <alignment horizontal="center" vertical="center"/>
      <protection locked="0"/>
    </xf>
    <xf numFmtId="49" fontId="31" fillId="3" borderId="26" xfId="0" applyNumberFormat="1" applyFont="1" applyFill="1" applyBorder="1" applyAlignment="1" applyProtection="1">
      <alignment horizontal="center" vertical="center"/>
      <protection locked="0"/>
    </xf>
    <xf numFmtId="166" fontId="31" fillId="0" borderId="28" xfId="0" applyNumberFormat="1" applyFont="1" applyFill="1" applyBorder="1" applyAlignment="1" applyProtection="1">
      <alignment horizontal="center" vertical="center"/>
    </xf>
    <xf numFmtId="49" fontId="31" fillId="0" borderId="12" xfId="0" applyNumberFormat="1" applyFont="1" applyFill="1" applyBorder="1" applyAlignment="1" applyProtection="1">
      <alignment horizontal="center" vertical="center"/>
    </xf>
    <xf numFmtId="164" fontId="33" fillId="0" borderId="12" xfId="0" applyNumberFormat="1" applyFont="1" applyBorder="1" applyAlignment="1" applyProtection="1">
      <alignment horizontal="center" vertical="center"/>
    </xf>
    <xf numFmtId="49" fontId="32" fillId="0" borderId="30" xfId="0" applyNumberFormat="1" applyFont="1" applyFill="1" applyBorder="1" applyAlignment="1" applyProtection="1">
      <alignment horizontal="center" vertical="justify"/>
    </xf>
    <xf numFmtId="0" fontId="16" fillId="0" borderId="0" xfId="0" applyFont="1" applyBorder="1" applyAlignment="1" applyProtection="1">
      <alignment horizontal="center" vertical="justify"/>
    </xf>
    <xf numFmtId="2" fontId="15" fillId="0" borderId="12" xfId="0" applyNumberFormat="1" applyFont="1" applyBorder="1" applyAlignment="1" applyProtection="1">
      <alignment horizontal="center" vertical="center"/>
    </xf>
    <xf numFmtId="2" fontId="15" fillId="0" borderId="7" xfId="0" applyNumberFormat="1" applyFont="1" applyBorder="1" applyAlignment="1" applyProtection="1">
      <alignment horizontal="center" vertical="center"/>
    </xf>
    <xf numFmtId="2" fontId="15" fillId="0" borderId="9" xfId="0" applyNumberFormat="1" applyFont="1" applyBorder="1" applyAlignment="1" applyProtection="1">
      <alignment horizontal="center" vertical="center"/>
    </xf>
    <xf numFmtId="2" fontId="15" fillId="2" borderId="11" xfId="0" applyNumberFormat="1" applyFont="1" applyFill="1" applyBorder="1" applyAlignment="1" applyProtection="1">
      <alignment horizontal="center" vertical="center"/>
      <protection locked="0"/>
    </xf>
    <xf numFmtId="2" fontId="15" fillId="2" borderId="6" xfId="0" applyNumberFormat="1" applyFont="1" applyFill="1" applyBorder="1" applyAlignment="1" applyProtection="1">
      <alignment horizontal="center" vertical="center"/>
      <protection locked="0"/>
    </xf>
    <xf numFmtId="2" fontId="15" fillId="2" borderId="8" xfId="0" applyNumberFormat="1" applyFont="1" applyFill="1" applyBorder="1" applyAlignment="1" applyProtection="1">
      <alignment horizontal="center" vertical="center"/>
      <protection locked="0"/>
    </xf>
    <xf numFmtId="2" fontId="15" fillId="2" borderId="12" xfId="0" applyNumberFormat="1" applyFont="1" applyFill="1" applyBorder="1" applyAlignment="1" applyProtection="1">
      <alignment horizontal="center" vertical="center"/>
      <protection locked="0"/>
    </xf>
    <xf numFmtId="2" fontId="15" fillId="2" borderId="7" xfId="0" applyNumberFormat="1" applyFont="1" applyFill="1" applyBorder="1" applyAlignment="1" applyProtection="1">
      <alignment horizontal="center" vertical="center"/>
      <protection locked="0"/>
    </xf>
    <xf numFmtId="2" fontId="15" fillId="2" borderId="9" xfId="0" applyNumberFormat="1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center" vertical="center"/>
      <protection locked="0"/>
    </xf>
    <xf numFmtId="0" fontId="15" fillId="2" borderId="6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33" fillId="0" borderId="11" xfId="0" applyNumberFormat="1" applyFont="1" applyFill="1" applyBorder="1" applyAlignment="1" applyProtection="1">
      <alignment horizontal="center" vertical="center"/>
    </xf>
    <xf numFmtId="1" fontId="15" fillId="0" borderId="6" xfId="0" applyNumberFormat="1" applyFont="1" applyFill="1" applyBorder="1" applyAlignment="1" applyProtection="1">
      <alignment horizontal="center" vertical="center"/>
    </xf>
    <xf numFmtId="1" fontId="15" fillId="0" borderId="8" xfId="0" applyNumberFormat="1" applyFont="1" applyFill="1" applyBorder="1" applyAlignment="1" applyProtection="1">
      <alignment horizontal="center" vertical="center"/>
    </xf>
    <xf numFmtId="2" fontId="16" fillId="5" borderId="12" xfId="0" applyNumberFormat="1" applyFont="1" applyFill="1" applyBorder="1" applyAlignment="1" applyProtection="1">
      <alignment horizontal="center" vertical="center"/>
    </xf>
    <xf numFmtId="2" fontId="16" fillId="5" borderId="7" xfId="0" applyNumberFormat="1" applyFont="1" applyFill="1" applyBorder="1" applyAlignment="1" applyProtection="1">
      <alignment horizontal="center" vertical="center"/>
    </xf>
    <xf numFmtId="2" fontId="16" fillId="5" borderId="9" xfId="0" applyNumberFormat="1" applyFont="1" applyFill="1" applyBorder="1" applyAlignment="1" applyProtection="1">
      <alignment horizontal="center" vertical="center"/>
    </xf>
    <xf numFmtId="1" fontId="33" fillId="2" borderId="1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Border="1" applyAlignment="1" applyProtection="1">
      <alignment horizontal="right" vertical="center"/>
    </xf>
    <xf numFmtId="0" fontId="15" fillId="0" borderId="0" xfId="0" applyFont="1" applyBorder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165" fontId="35" fillId="0" borderId="0" xfId="0" applyNumberFormat="1" applyFont="1" applyBorder="1" applyAlignment="1" applyProtection="1">
      <alignment horizontal="center" vertical="center"/>
    </xf>
    <xf numFmtId="0" fontId="38" fillId="0" borderId="0" xfId="1"/>
    <xf numFmtId="0" fontId="16" fillId="0" borderId="0" xfId="3" applyFont="1" applyAlignment="1">
      <alignment horizontal="center" vertical="center"/>
    </xf>
    <xf numFmtId="0" fontId="10" fillId="0" borderId="0" xfId="3" applyAlignment="1">
      <alignment horizontal="center" vertical="center"/>
    </xf>
    <xf numFmtId="0" fontId="45" fillId="0" borderId="0" xfId="3" applyFont="1" applyAlignment="1">
      <alignment horizontal="center" vertical="center"/>
    </xf>
    <xf numFmtId="0" fontId="33" fillId="0" borderId="0" xfId="1" applyFont="1" applyAlignment="1">
      <alignment horizontal="center" vertical="center"/>
    </xf>
    <xf numFmtId="0" fontId="52" fillId="0" borderId="64" xfId="1" applyFont="1" applyBorder="1" applyAlignment="1" applyProtection="1">
      <alignment horizontal="center" vertical="center"/>
    </xf>
    <xf numFmtId="2" fontId="36" fillId="0" borderId="0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58" fillId="0" borderId="0" xfId="0" applyFont="1" applyBorder="1" applyAlignment="1" applyProtection="1">
      <alignment horizontal="center" vertical="center"/>
    </xf>
    <xf numFmtId="49" fontId="59" fillId="0" borderId="0" xfId="0" quotePrefix="1" applyNumberFormat="1" applyFont="1" applyBorder="1" applyAlignment="1" applyProtection="1">
      <alignment horizontal="center" vertical="center"/>
    </xf>
    <xf numFmtId="0" fontId="0" fillId="0" borderId="74" xfId="0" applyBorder="1" applyProtection="1"/>
    <xf numFmtId="0" fontId="62" fillId="3" borderId="1" xfId="0" applyNumberFormat="1" applyFont="1" applyFill="1" applyBorder="1" applyAlignment="1" applyProtection="1">
      <alignment horizontal="center" vertical="justify"/>
      <protection locked="0"/>
    </xf>
    <xf numFmtId="0" fontId="62" fillId="3" borderId="2" xfId="0" applyNumberFormat="1" applyFont="1" applyFill="1" applyBorder="1" applyAlignment="1" applyProtection="1">
      <alignment horizontal="center" vertical="justify"/>
      <protection locked="0"/>
    </xf>
    <xf numFmtId="0" fontId="19" fillId="0" borderId="75" xfId="0" applyFont="1" applyBorder="1" applyAlignment="1" applyProtection="1">
      <alignment horizontal="center" vertical="center"/>
    </xf>
    <xf numFmtId="0" fontId="15" fillId="0" borderId="75" xfId="0" applyFont="1" applyBorder="1" applyAlignment="1" applyProtection="1">
      <alignment horizontal="center" vertical="center"/>
    </xf>
    <xf numFmtId="0" fontId="63" fillId="0" borderId="0" xfId="3" applyFont="1" applyAlignment="1">
      <alignment horizontal="center" vertical="center"/>
    </xf>
    <xf numFmtId="0" fontId="38" fillId="0" borderId="0" xfId="1" applyAlignment="1">
      <alignment horizontal="center" vertical="center"/>
    </xf>
    <xf numFmtId="0" fontId="8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166" fontId="56" fillId="0" borderId="0" xfId="0" applyNumberFormat="1" applyFont="1" applyBorder="1" applyAlignment="1" applyProtection="1">
      <alignment horizontal="center" vertical="center"/>
    </xf>
    <xf numFmtId="0" fontId="19" fillId="0" borderId="77" xfId="0" applyFont="1" applyBorder="1" applyAlignment="1" applyProtection="1">
      <alignment horizontal="center" vertical="center"/>
    </xf>
    <xf numFmtId="0" fontId="15" fillId="0" borderId="78" xfId="0" applyFont="1" applyBorder="1" applyAlignment="1" applyProtection="1">
      <alignment horizontal="center" vertical="center"/>
    </xf>
    <xf numFmtId="0" fontId="0" fillId="0" borderId="77" xfId="0" applyBorder="1" applyProtection="1"/>
    <xf numFmtId="0" fontId="0" fillId="0" borderId="78" xfId="0" applyBorder="1" applyProtection="1"/>
    <xf numFmtId="165" fontId="15" fillId="0" borderId="78" xfId="0" applyNumberFormat="1" applyFont="1" applyBorder="1" applyAlignment="1" applyProtection="1">
      <alignment horizontal="center" vertical="center"/>
    </xf>
    <xf numFmtId="0" fontId="19" fillId="0" borderId="62" xfId="0" applyFont="1" applyBorder="1" applyAlignment="1" applyProtection="1">
      <alignment horizontal="center" vertical="center"/>
    </xf>
    <xf numFmtId="49" fontId="17" fillId="0" borderId="59" xfId="0" applyNumberFormat="1" applyFont="1" applyBorder="1" applyAlignment="1" applyProtection="1">
      <alignment horizontal="right" vertical="center"/>
    </xf>
    <xf numFmtId="165" fontId="17" fillId="0" borderId="59" xfId="0" applyNumberFormat="1" applyFont="1" applyBorder="1" applyAlignment="1" applyProtection="1">
      <alignment horizontal="center" vertical="center"/>
    </xf>
    <xf numFmtId="1" fontId="17" fillId="0" borderId="59" xfId="0" applyNumberFormat="1" applyFont="1" applyBorder="1" applyAlignment="1" applyProtection="1">
      <alignment horizontal="center" vertical="center"/>
    </xf>
    <xf numFmtId="0" fontId="15" fillId="0" borderId="59" xfId="0" applyFont="1" applyBorder="1" applyAlignment="1" applyProtection="1">
      <alignment horizontal="center" vertical="center"/>
    </xf>
    <xf numFmtId="0" fontId="19" fillId="0" borderId="59" xfId="0" applyFont="1" applyBorder="1" applyAlignment="1" applyProtection="1">
      <alignment horizontal="center" vertical="center"/>
    </xf>
    <xf numFmtId="165" fontId="17" fillId="0" borderId="63" xfId="0" applyNumberFormat="1" applyFont="1" applyBorder="1" applyAlignment="1" applyProtection="1">
      <alignment horizontal="center" vertical="center"/>
    </xf>
    <xf numFmtId="1" fontId="16" fillId="0" borderId="78" xfId="0" applyNumberFormat="1" applyFont="1" applyFill="1" applyBorder="1" applyAlignment="1" applyProtection="1">
      <alignment horizontal="center" vertical="center"/>
    </xf>
    <xf numFmtId="1" fontId="16" fillId="0" borderId="78" xfId="0" applyNumberFormat="1" applyFont="1" applyBorder="1" applyAlignment="1" applyProtection="1">
      <alignment horizontal="center" vertical="center"/>
    </xf>
    <xf numFmtId="0" fontId="20" fillId="0" borderId="78" xfId="0" applyFont="1" applyBorder="1" applyAlignment="1" applyProtection="1">
      <alignment horizontal="center" vertical="center"/>
    </xf>
    <xf numFmtId="1" fontId="21" fillId="0" borderId="78" xfId="0" applyNumberFormat="1" applyFont="1" applyBorder="1" applyAlignment="1" applyProtection="1">
      <alignment horizontal="center" vertical="center"/>
    </xf>
    <xf numFmtId="1" fontId="11" fillId="0" borderId="78" xfId="0" applyNumberFormat="1" applyFont="1" applyBorder="1" applyAlignment="1" applyProtection="1">
      <alignment horizontal="center" vertical="center"/>
    </xf>
    <xf numFmtId="0" fontId="17" fillId="0" borderId="59" xfId="0" applyFont="1" applyBorder="1" applyAlignment="1" applyProtection="1">
      <alignment horizontal="right" vertical="center"/>
    </xf>
    <xf numFmtId="0" fontId="11" fillId="0" borderId="59" xfId="0" applyFont="1" applyBorder="1" applyAlignment="1" applyProtection="1">
      <alignment horizontal="center" vertical="center"/>
    </xf>
    <xf numFmtId="1" fontId="11" fillId="0" borderId="63" xfId="0" applyNumberFormat="1" applyFont="1" applyBorder="1" applyAlignment="1" applyProtection="1">
      <alignment horizontal="center" vertical="center"/>
    </xf>
    <xf numFmtId="0" fontId="11" fillId="0" borderId="78" xfId="0" applyFont="1" applyBorder="1" applyAlignment="1" applyProtection="1">
      <alignment horizontal="center" vertical="center"/>
    </xf>
    <xf numFmtId="0" fontId="11" fillId="0" borderId="63" xfId="0" applyFont="1" applyBorder="1" applyAlignment="1" applyProtection="1">
      <alignment horizontal="center" vertical="center"/>
    </xf>
    <xf numFmtId="1" fontId="15" fillId="0" borderId="78" xfId="0" applyNumberFormat="1" applyFont="1" applyBorder="1" applyAlignment="1" applyProtection="1">
      <alignment horizontal="center" vertical="center"/>
    </xf>
    <xf numFmtId="164" fontId="17" fillId="0" borderId="59" xfId="0" applyNumberFormat="1" applyFont="1" applyBorder="1" applyAlignment="1" applyProtection="1">
      <alignment horizontal="center" vertical="center"/>
    </xf>
    <xf numFmtId="1" fontId="17" fillId="0" borderId="63" xfId="0" applyNumberFormat="1" applyFont="1" applyBorder="1" applyAlignment="1" applyProtection="1">
      <alignment horizontal="center" vertical="center"/>
    </xf>
    <xf numFmtId="0" fontId="0" fillId="0" borderId="77" xfId="0" applyBorder="1"/>
    <xf numFmtId="0" fontId="0" fillId="0" borderId="0" xfId="0" applyBorder="1"/>
    <xf numFmtId="0" fontId="0" fillId="0" borderId="78" xfId="0" applyBorder="1"/>
    <xf numFmtId="0" fontId="16" fillId="0" borderId="77" xfId="0" applyFont="1" applyBorder="1" applyAlignment="1" applyProtection="1">
      <alignment horizontal="center" vertical="justify"/>
    </xf>
    <xf numFmtId="0" fontId="16" fillId="0" borderId="78" xfId="0" applyFont="1" applyBorder="1" applyAlignment="1" applyProtection="1">
      <alignment horizontal="center" vertical="center"/>
    </xf>
    <xf numFmtId="2" fontId="15" fillId="0" borderId="78" xfId="0" applyNumberFormat="1" applyFont="1" applyFill="1" applyBorder="1" applyAlignment="1" applyProtection="1">
      <alignment horizontal="center" vertical="center"/>
    </xf>
    <xf numFmtId="0" fontId="15" fillId="0" borderId="77" xfId="0" applyFont="1" applyBorder="1" applyAlignment="1" applyProtection="1">
      <alignment horizontal="center" vertical="center"/>
    </xf>
    <xf numFmtId="0" fontId="17" fillId="0" borderId="59" xfId="0" applyFont="1" applyBorder="1" applyAlignment="1" applyProtection="1">
      <alignment horizontal="center" vertical="center"/>
    </xf>
    <xf numFmtId="0" fontId="53" fillId="0" borderId="59" xfId="0" applyFont="1" applyBorder="1" applyAlignment="1" applyProtection="1">
      <alignment horizontal="right" vertical="center"/>
    </xf>
    <xf numFmtId="2" fontId="53" fillId="0" borderId="59" xfId="0" applyNumberFormat="1" applyFont="1" applyBorder="1" applyAlignment="1" applyProtection="1">
      <alignment horizontal="center" vertical="center"/>
    </xf>
    <xf numFmtId="2" fontId="36" fillId="0" borderId="63" xfId="0" applyNumberFormat="1" applyFont="1" applyBorder="1" applyAlignment="1" applyProtection="1">
      <alignment horizontal="center" vertical="center"/>
    </xf>
    <xf numFmtId="0" fontId="16" fillId="0" borderId="78" xfId="0" applyFont="1" applyBorder="1" applyAlignment="1" applyProtection="1">
      <alignment horizontal="center" vertical="justify"/>
    </xf>
    <xf numFmtId="0" fontId="19" fillId="0" borderId="78" xfId="0" applyFont="1" applyBorder="1" applyAlignment="1" applyProtection="1">
      <alignment horizontal="center" vertical="center"/>
    </xf>
    <xf numFmtId="0" fontId="15" fillId="0" borderId="62" xfId="0" applyFont="1" applyBorder="1" applyAlignment="1" applyProtection="1">
      <alignment horizontal="center" vertical="center"/>
    </xf>
    <xf numFmtId="0" fontId="15" fillId="0" borderId="63" xfId="0" applyFont="1" applyBorder="1" applyAlignment="1" applyProtection="1">
      <alignment horizontal="center" vertical="center"/>
    </xf>
    <xf numFmtId="0" fontId="16" fillId="0" borderId="84" xfId="0" applyFont="1" applyBorder="1" applyAlignment="1" applyProtection="1">
      <alignment horizontal="center" vertical="justify"/>
    </xf>
    <xf numFmtId="0" fontId="0" fillId="0" borderId="63" xfId="0" applyBorder="1" applyProtection="1"/>
    <xf numFmtId="2" fontId="7" fillId="2" borderId="7" xfId="0" applyNumberFormat="1" applyFont="1" applyFill="1" applyBorder="1" applyAlignment="1" applyProtection="1">
      <alignment horizontal="center" vertical="center"/>
      <protection locked="0"/>
    </xf>
    <xf numFmtId="49" fontId="17" fillId="0" borderId="3" xfId="0" applyNumberFormat="1" applyFont="1" applyBorder="1" applyAlignment="1" applyProtection="1">
      <alignment horizontal="center" vertical="center"/>
    </xf>
    <xf numFmtId="0" fontId="16" fillId="0" borderId="3" xfId="0" applyFont="1" applyBorder="1" applyAlignment="1" applyProtection="1">
      <alignment horizontal="center" vertical="center"/>
    </xf>
    <xf numFmtId="0" fontId="16" fillId="0" borderId="5" xfId="0" applyFont="1" applyBorder="1" applyAlignment="1" applyProtection="1">
      <alignment horizontal="center" vertical="center"/>
    </xf>
    <xf numFmtId="1" fontId="16" fillId="0" borderId="10" xfId="0" applyNumberFormat="1" applyFont="1" applyBorder="1" applyAlignment="1" applyProtection="1">
      <alignment horizontal="center" vertical="center"/>
    </xf>
    <xf numFmtId="1" fontId="16" fillId="0" borderId="5" xfId="0" applyNumberFormat="1" applyFont="1" applyBorder="1" applyAlignment="1" applyProtection="1">
      <alignment horizontal="center" vertical="center"/>
    </xf>
    <xf numFmtId="0" fontId="16" fillId="0" borderId="10" xfId="0" applyFont="1" applyBorder="1" applyAlignment="1" applyProtection="1">
      <alignment horizontal="center" vertical="center"/>
    </xf>
    <xf numFmtId="0" fontId="65" fillId="0" borderId="0" xfId="2" applyFont="1" applyBorder="1" applyAlignment="1" applyProtection="1">
      <alignment vertical="center"/>
    </xf>
    <xf numFmtId="166" fontId="56" fillId="0" borderId="0" xfId="0" applyNumberFormat="1" applyFont="1" applyAlignment="1" applyProtection="1">
      <alignment horizontal="center" vertical="center" wrapText="1"/>
    </xf>
    <xf numFmtId="0" fontId="46" fillId="0" borderId="0" xfId="2" applyFont="1" applyBorder="1" applyAlignment="1" applyProtection="1">
      <alignment horizontal="center" vertical="center" wrapText="1"/>
    </xf>
    <xf numFmtId="0" fontId="65" fillId="0" borderId="0" xfId="2" quotePrefix="1" applyFont="1" applyBorder="1" applyAlignment="1" applyProtection="1">
      <alignment horizontal="center" vertical="center" wrapText="1"/>
    </xf>
    <xf numFmtId="0" fontId="22" fillId="0" borderId="73" xfId="0" applyFont="1" applyBorder="1" applyAlignment="1" applyProtection="1">
      <alignment horizontal="center" vertical="center"/>
    </xf>
    <xf numFmtId="0" fontId="71" fillId="0" borderId="85" xfId="0" applyFont="1" applyBorder="1" applyAlignment="1" applyProtection="1">
      <alignment horizontal="center" vertical="center"/>
    </xf>
    <xf numFmtId="0" fontId="72" fillId="0" borderId="86" xfId="0" applyFont="1" applyBorder="1" applyAlignment="1" applyProtection="1">
      <alignment horizontal="center" vertical="center"/>
    </xf>
    <xf numFmtId="0" fontId="43" fillId="0" borderId="65" xfId="2" applyFont="1" applyBorder="1" applyAlignment="1" applyProtection="1">
      <alignment horizontal="left" vertical="center" wrapText="1"/>
    </xf>
    <xf numFmtId="0" fontId="43" fillId="0" borderId="65" xfId="2" applyFont="1" applyFill="1" applyBorder="1" applyAlignment="1" applyProtection="1">
      <alignment horizontal="left" vertical="center" wrapText="1"/>
    </xf>
    <xf numFmtId="49" fontId="16" fillId="0" borderId="0" xfId="7" applyNumberFormat="1" applyFont="1" applyAlignment="1" applyProtection="1">
      <alignment horizontal="center" vertical="center"/>
    </xf>
    <xf numFmtId="49" fontId="73" fillId="0" borderId="0" xfId="8" applyNumberFormat="1" applyProtection="1"/>
    <xf numFmtId="49" fontId="6" fillId="0" borderId="0" xfId="7" applyNumberFormat="1" applyAlignment="1" applyProtection="1">
      <alignment horizontal="center" vertical="center"/>
    </xf>
    <xf numFmtId="0" fontId="73" fillId="0" borderId="0" xfId="8"/>
    <xf numFmtId="49" fontId="6" fillId="0" borderId="0" xfId="7" applyNumberFormat="1" applyBorder="1" applyAlignment="1" applyProtection="1">
      <alignment horizontal="center" vertical="center"/>
    </xf>
    <xf numFmtId="49" fontId="73" fillId="0" borderId="89" xfId="8" applyNumberFormat="1" applyBorder="1" applyProtection="1"/>
    <xf numFmtId="49" fontId="16" fillId="0" borderId="89" xfId="7" applyNumberFormat="1" applyFont="1" applyBorder="1" applyAlignment="1" applyProtection="1">
      <alignment horizontal="center" vertical="center"/>
    </xf>
    <xf numFmtId="49" fontId="16" fillId="0" borderId="0" xfId="7" applyNumberFormat="1" applyFont="1" applyBorder="1" applyAlignment="1" applyProtection="1">
      <alignment horizontal="center" vertical="center"/>
    </xf>
    <xf numFmtId="49" fontId="77" fillId="0" borderId="0" xfId="7" applyNumberFormat="1" applyFont="1" applyAlignment="1" applyProtection="1">
      <alignment horizontal="center" vertical="center"/>
    </xf>
    <xf numFmtId="49" fontId="64" fillId="0" borderId="0" xfId="7" applyNumberFormat="1" applyFont="1" applyAlignment="1" applyProtection="1">
      <alignment horizontal="center" vertical="center"/>
    </xf>
    <xf numFmtId="49" fontId="38" fillId="0" borderId="0" xfId="1" applyNumberFormat="1" applyProtection="1"/>
    <xf numFmtId="49" fontId="6" fillId="0" borderId="0" xfId="9" applyNumberFormat="1" applyAlignment="1" applyProtection="1">
      <alignment horizontal="center" vertical="center"/>
    </xf>
    <xf numFmtId="49" fontId="16" fillId="0" borderId="0" xfId="9" applyNumberFormat="1" applyFont="1" applyAlignment="1" applyProtection="1">
      <alignment horizontal="center" vertical="center"/>
    </xf>
    <xf numFmtId="49" fontId="16" fillId="0" borderId="0" xfId="7" applyNumberFormat="1" applyFont="1" applyAlignment="1" applyProtection="1">
      <alignment horizontal="center" vertical="center" wrapText="1"/>
    </xf>
    <xf numFmtId="0" fontId="16" fillId="0" borderId="0" xfId="3" applyFont="1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63" fillId="0" borderId="0" xfId="3" applyFont="1" applyBorder="1" applyAlignment="1">
      <alignment horizontal="center" vertical="center"/>
    </xf>
    <xf numFmtId="0" fontId="16" fillId="0" borderId="90" xfId="3" applyFont="1" applyBorder="1" applyAlignment="1">
      <alignment horizontal="center" vertical="center"/>
    </xf>
    <xf numFmtId="0" fontId="38" fillId="0" borderId="0" xfId="1" applyBorder="1"/>
    <xf numFmtId="0" fontId="45" fillId="0" borderId="3" xfId="3" applyFont="1" applyBorder="1" applyAlignment="1">
      <alignment horizontal="center" vertical="center"/>
    </xf>
    <xf numFmtId="0" fontId="45" fillId="0" borderId="91" xfId="3" applyFont="1" applyBorder="1" applyAlignment="1">
      <alignment horizontal="center" vertical="center"/>
    </xf>
    <xf numFmtId="0" fontId="63" fillId="0" borderId="3" xfId="3" applyFont="1" applyBorder="1" applyAlignment="1">
      <alignment horizontal="center" vertical="center"/>
    </xf>
    <xf numFmtId="0" fontId="63" fillId="0" borderId="10" xfId="3" applyFont="1" applyBorder="1" applyAlignment="1">
      <alignment horizontal="center" vertical="center"/>
    </xf>
    <xf numFmtId="0" fontId="16" fillId="0" borderId="0" xfId="3" applyFont="1" applyAlignment="1">
      <alignment horizontal="center" vertical="center" wrapText="1"/>
    </xf>
    <xf numFmtId="0" fontId="57" fillId="7" borderId="0" xfId="0" applyFont="1" applyFill="1" applyBorder="1" applyAlignment="1" applyProtection="1">
      <alignment horizontal="center" vertical="center" textRotation="90"/>
    </xf>
    <xf numFmtId="0" fontId="8" fillId="7" borderId="0" xfId="0" applyFont="1" applyFill="1" applyBorder="1" applyAlignment="1" applyProtection="1">
      <alignment horizontal="center" vertical="center"/>
    </xf>
    <xf numFmtId="1" fontId="16" fillId="0" borderId="0" xfId="0" applyNumberFormat="1" applyFont="1" applyFill="1" applyBorder="1" applyAlignment="1" applyProtection="1">
      <alignment horizontal="center" vertical="center"/>
    </xf>
    <xf numFmtId="0" fontId="15" fillId="0" borderId="56" xfId="0" applyFont="1" applyBorder="1" applyAlignment="1" applyProtection="1">
      <alignment horizontal="center" vertical="center"/>
    </xf>
    <xf numFmtId="1" fontId="11" fillId="0" borderId="59" xfId="0" applyNumberFormat="1" applyFont="1" applyBorder="1" applyAlignment="1" applyProtection="1">
      <alignment horizontal="center" vertical="center"/>
    </xf>
    <xf numFmtId="166" fontId="16" fillId="0" borderId="6" xfId="0" applyNumberFormat="1" applyFont="1" applyBorder="1" applyAlignment="1" applyProtection="1">
      <alignment horizontal="center" vertical="center"/>
    </xf>
    <xf numFmtId="166" fontId="17" fillId="0" borderId="6" xfId="0" applyNumberFormat="1" applyFont="1" applyBorder="1" applyAlignment="1" applyProtection="1">
      <alignment horizontal="center" vertical="center"/>
    </xf>
    <xf numFmtId="166" fontId="33" fillId="2" borderId="6" xfId="0" applyNumberFormat="1" applyFont="1" applyFill="1" applyBorder="1" applyAlignment="1" applyProtection="1">
      <alignment horizontal="center" vertical="center"/>
      <protection locked="0"/>
    </xf>
    <xf numFmtId="0" fontId="31" fillId="0" borderId="30" xfId="0" applyNumberFormat="1" applyFont="1" applyFill="1" applyBorder="1" applyAlignment="1" applyProtection="1">
      <alignment horizontal="center" vertical="center"/>
    </xf>
    <xf numFmtId="0" fontId="31" fillId="0" borderId="26" xfId="0" applyNumberFormat="1" applyFont="1" applyFill="1" applyBorder="1" applyAlignment="1" applyProtection="1">
      <alignment horizontal="center" vertical="center"/>
    </xf>
    <xf numFmtId="0" fontId="13" fillId="0" borderId="1" xfId="0" applyNumberFormat="1" applyFont="1" applyFill="1" applyBorder="1" applyAlignment="1" applyProtection="1">
      <alignment horizontal="center" vertical="justify"/>
    </xf>
    <xf numFmtId="0" fontId="13" fillId="0" borderId="23" xfId="0" applyNumberFormat="1" applyFont="1" applyFill="1" applyBorder="1" applyAlignment="1" applyProtection="1">
      <alignment horizontal="center" vertical="justify"/>
    </xf>
    <xf numFmtId="0" fontId="12" fillId="0" borderId="23" xfId="0" applyNumberFormat="1" applyFont="1" applyFill="1" applyBorder="1" applyAlignment="1" applyProtection="1">
      <alignment horizontal="center" vertical="justify"/>
    </xf>
    <xf numFmtId="0" fontId="4" fillId="0" borderId="23" xfId="0" applyNumberFormat="1" applyFont="1" applyFill="1" applyBorder="1" applyAlignment="1" applyProtection="1">
      <alignment horizontal="center" vertical="justify"/>
    </xf>
    <xf numFmtId="0" fontId="14" fillId="0" borderId="1" xfId="0" applyNumberFormat="1" applyFont="1" applyFill="1" applyBorder="1" applyAlignment="1" applyProtection="1">
      <alignment horizontal="center" vertical="justify"/>
    </xf>
    <xf numFmtId="0" fontId="14" fillId="0" borderId="23" xfId="0" applyNumberFormat="1" applyFont="1" applyFill="1" applyBorder="1" applyAlignment="1" applyProtection="1">
      <alignment horizontal="center" vertical="justify"/>
    </xf>
    <xf numFmtId="0" fontId="14" fillId="0" borderId="2" xfId="0" applyNumberFormat="1" applyFont="1" applyFill="1" applyBorder="1" applyAlignment="1" applyProtection="1">
      <alignment horizontal="center" vertical="justify"/>
    </xf>
    <xf numFmtId="0" fontId="14" fillId="0" borderId="24" xfId="0" applyNumberFormat="1" applyFont="1" applyFill="1" applyBorder="1" applyAlignment="1" applyProtection="1">
      <alignment horizontal="center" vertical="justify"/>
    </xf>
    <xf numFmtId="0" fontId="33" fillId="0" borderId="30" xfId="0" applyNumberFormat="1" applyFont="1" applyFill="1" applyBorder="1" applyAlignment="1" applyProtection="1">
      <alignment horizontal="center" vertical="center"/>
    </xf>
    <xf numFmtId="0" fontId="33" fillId="0" borderId="26" xfId="0" applyNumberFormat="1" applyFont="1" applyFill="1" applyBorder="1" applyAlignment="1" applyProtection="1">
      <alignment horizontal="center" vertical="center"/>
    </xf>
    <xf numFmtId="0" fontId="33" fillId="0" borderId="51" xfId="0" applyNumberFormat="1" applyFont="1" applyFill="1" applyBorder="1" applyAlignment="1" applyProtection="1">
      <alignment horizontal="center" vertical="center"/>
    </xf>
    <xf numFmtId="0" fontId="33" fillId="0" borderId="72" xfId="0" applyNumberFormat="1" applyFont="1" applyFill="1" applyBorder="1" applyAlignment="1" applyProtection="1">
      <alignment horizontal="center" vertical="center"/>
    </xf>
    <xf numFmtId="0" fontId="5" fillId="0" borderId="23" xfId="0" applyNumberFormat="1" applyFont="1" applyFill="1" applyBorder="1" applyAlignment="1" applyProtection="1">
      <alignment horizontal="center" vertical="justify"/>
    </xf>
    <xf numFmtId="0" fontId="15" fillId="9" borderId="17" xfId="0" applyFont="1" applyFill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</xf>
    <xf numFmtId="0" fontId="15" fillId="9" borderId="95" xfId="0" applyFont="1" applyFill="1" applyBorder="1" applyAlignment="1" applyProtection="1">
      <alignment horizontal="center" vertical="center"/>
      <protection locked="0"/>
    </xf>
    <xf numFmtId="0" fontId="16" fillId="0" borderId="95" xfId="0" applyFont="1" applyBorder="1" applyAlignment="1" applyProtection="1">
      <alignment horizontal="center" vertical="center"/>
    </xf>
    <xf numFmtId="49" fontId="32" fillId="0" borderId="25" xfId="0" applyNumberFormat="1" applyFont="1" applyFill="1" applyBorder="1" applyAlignment="1" applyProtection="1">
      <alignment horizontal="center" vertical="justify"/>
    </xf>
    <xf numFmtId="0" fontId="65" fillId="0" borderId="0" xfId="2" applyFont="1" applyBorder="1" applyAlignment="1" applyProtection="1">
      <alignment horizontal="center" vertical="center" wrapText="1"/>
    </xf>
    <xf numFmtId="0" fontId="79" fillId="0" borderId="0" xfId="3" applyFont="1" applyAlignment="1">
      <alignment horizontal="center" vertical="justify"/>
    </xf>
    <xf numFmtId="0" fontId="78" fillId="0" borderId="77" xfId="1" applyFont="1" applyBorder="1" applyAlignment="1">
      <alignment horizontal="center" vertical="center"/>
    </xf>
    <xf numFmtId="49" fontId="86" fillId="0" borderId="2" xfId="0" applyNumberFormat="1" applyFont="1" applyBorder="1" applyAlignment="1" applyProtection="1">
      <alignment horizontal="center" vertical="center"/>
    </xf>
    <xf numFmtId="49" fontId="86" fillId="0" borderId="9" xfId="0" applyNumberFormat="1" applyFont="1" applyBorder="1" applyAlignment="1" applyProtection="1">
      <alignment horizontal="center" vertical="center"/>
    </xf>
    <xf numFmtId="49" fontId="86" fillId="0" borderId="14" xfId="0" applyNumberFormat="1" applyFont="1" applyBorder="1" applyAlignment="1" applyProtection="1">
      <alignment horizontal="center" vertical="center"/>
    </xf>
    <xf numFmtId="49" fontId="48" fillId="0" borderId="96" xfId="2" applyNumberFormat="1" applyFont="1" applyFill="1" applyBorder="1" applyAlignment="1" applyProtection="1">
      <alignment horizontal="center" vertical="center" wrapText="1"/>
    </xf>
    <xf numFmtId="49" fontId="74" fillId="0" borderId="97" xfId="7" applyNumberFormat="1" applyFont="1" applyBorder="1" applyAlignment="1" applyProtection="1">
      <alignment horizontal="center" vertical="center" wrapText="1"/>
    </xf>
    <xf numFmtId="49" fontId="3" fillId="0" borderId="0" xfId="7" applyNumberFormat="1" applyFont="1" applyBorder="1" applyAlignment="1" applyProtection="1">
      <alignment vertical="center" wrapText="1"/>
    </xf>
    <xf numFmtId="49" fontId="3" fillId="0" borderId="0" xfId="7" applyNumberFormat="1" applyFont="1" applyBorder="1" applyAlignment="1" applyProtection="1">
      <alignment vertical="center"/>
    </xf>
    <xf numFmtId="49" fontId="73" fillId="0" borderId="98" xfId="8" applyNumberFormat="1" applyBorder="1" applyProtection="1"/>
    <xf numFmtId="0" fontId="75" fillId="0" borderId="99" xfId="2" applyFont="1" applyFill="1" applyBorder="1" applyAlignment="1">
      <alignment horizontal="center" vertical="center" wrapText="1"/>
    </xf>
    <xf numFmtId="0" fontId="76" fillId="0" borderId="99" xfId="2" applyFont="1" applyFill="1" applyBorder="1" applyAlignment="1">
      <alignment horizontal="center" vertical="center" wrapText="1"/>
    </xf>
    <xf numFmtId="49" fontId="73" fillId="0" borderId="100" xfId="8" applyNumberFormat="1" applyBorder="1" applyProtection="1"/>
    <xf numFmtId="0" fontId="33" fillId="0" borderId="0" xfId="1" applyFont="1" applyAlignment="1">
      <alignment vertical="center"/>
    </xf>
    <xf numFmtId="0" fontId="38" fillId="0" borderId="0" xfId="1" applyAlignment="1">
      <alignment vertical="center"/>
    </xf>
    <xf numFmtId="0" fontId="78" fillId="0" borderId="0" xfId="1" applyFont="1" applyBorder="1" applyAlignment="1">
      <alignment vertical="center"/>
    </xf>
    <xf numFmtId="0" fontId="76" fillId="0" borderId="0" xfId="2" applyFont="1" applyFill="1" applyBorder="1" applyAlignment="1">
      <alignment vertical="center"/>
    </xf>
    <xf numFmtId="0" fontId="76" fillId="0" borderId="77" xfId="2" applyFont="1" applyFill="1" applyBorder="1" applyAlignment="1">
      <alignment horizontal="center" vertical="center"/>
    </xf>
    <xf numFmtId="0" fontId="45" fillId="0" borderId="101" xfId="3" applyFont="1" applyBorder="1" applyAlignment="1">
      <alignment horizontal="center" vertical="center"/>
    </xf>
    <xf numFmtId="0" fontId="54" fillId="0" borderId="33" xfId="3" applyFont="1" applyBorder="1" applyAlignment="1">
      <alignment horizontal="center"/>
    </xf>
    <xf numFmtId="0" fontId="33" fillId="0" borderId="102" xfId="3" applyFont="1" applyBorder="1" applyAlignment="1">
      <alignment horizontal="center" vertical="center" wrapText="1"/>
    </xf>
    <xf numFmtId="0" fontId="33" fillId="0" borderId="102" xfId="3" applyFont="1" applyBorder="1" applyAlignment="1">
      <alignment horizontal="center" vertical="center"/>
    </xf>
    <xf numFmtId="0" fontId="54" fillId="0" borderId="34" xfId="3" applyFont="1" applyBorder="1" applyAlignment="1">
      <alignment horizontal="center" vertical="top" wrapText="1"/>
    </xf>
    <xf numFmtId="0" fontId="54" fillId="0" borderId="33" xfId="3" applyFont="1" applyBorder="1" applyAlignment="1">
      <alignment horizontal="center" wrapText="1"/>
    </xf>
    <xf numFmtId="0" fontId="33" fillId="0" borderId="34" xfId="3" applyFont="1" applyBorder="1" applyAlignment="1">
      <alignment horizontal="center" vertical="top" wrapText="1"/>
    </xf>
    <xf numFmtId="0" fontId="47" fillId="0" borderId="33" xfId="3" applyFont="1" applyBorder="1" applyAlignment="1">
      <alignment horizontal="center"/>
    </xf>
    <xf numFmtId="0" fontId="54" fillId="0" borderId="102" xfId="3" applyFont="1" applyBorder="1" applyAlignment="1">
      <alignment horizontal="center" vertical="center" wrapText="1"/>
    </xf>
    <xf numFmtId="0" fontId="6" fillId="0" borderId="102" xfId="3" applyFont="1" applyBorder="1" applyAlignment="1">
      <alignment horizontal="center" vertical="top" wrapText="1"/>
    </xf>
    <xf numFmtId="0" fontId="47" fillId="0" borderId="102" xfId="3" applyFont="1" applyBorder="1" applyAlignment="1">
      <alignment horizontal="center"/>
    </xf>
    <xf numFmtId="0" fontId="6" fillId="0" borderId="34" xfId="3" applyFont="1" applyBorder="1" applyAlignment="1">
      <alignment horizontal="center" vertical="center" wrapText="1"/>
    </xf>
    <xf numFmtId="0" fontId="38" fillId="0" borderId="0" xfId="1" applyBorder="1" applyAlignment="1"/>
    <xf numFmtId="0" fontId="48" fillId="0" borderId="0" xfId="2" applyFont="1" applyBorder="1" applyAlignment="1" applyProtection="1">
      <alignment vertical="center"/>
    </xf>
    <xf numFmtId="0" fontId="48" fillId="0" borderId="103" xfId="2" applyFont="1" applyBorder="1" applyAlignment="1" applyProtection="1">
      <alignment horizontal="center" vertical="center" wrapText="1"/>
    </xf>
    <xf numFmtId="49" fontId="51" fillId="0" borderId="104" xfId="3" applyNumberFormat="1" applyFont="1" applyBorder="1" applyAlignment="1">
      <alignment horizontal="center" vertical="center" wrapText="1"/>
    </xf>
    <xf numFmtId="0" fontId="16" fillId="0" borderId="98" xfId="3" applyFont="1" applyBorder="1" applyAlignment="1">
      <alignment horizontal="center" vertical="center"/>
    </xf>
    <xf numFmtId="0" fontId="16" fillId="0" borderId="100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49" fontId="38" fillId="0" borderId="77" xfId="1" applyNumberFormat="1" applyBorder="1" applyAlignment="1" applyProtection="1">
      <alignment horizontal="center" vertical="center"/>
    </xf>
    <xf numFmtId="0" fontId="78" fillId="0" borderId="99" xfId="1" applyFont="1" applyBorder="1" applyAlignment="1">
      <alignment horizontal="center" vertical="center" wrapText="1"/>
    </xf>
    <xf numFmtId="0" fontId="38" fillId="0" borderId="0" xfId="1" applyAlignment="1"/>
    <xf numFmtId="0" fontId="0" fillId="0" borderId="0" xfId="0" applyAlignment="1"/>
    <xf numFmtId="49" fontId="38" fillId="0" borderId="0" xfId="1" applyNumberFormat="1" applyAlignment="1" applyProtection="1">
      <alignment horizontal="center"/>
    </xf>
    <xf numFmtId="49" fontId="38" fillId="0" borderId="98" xfId="1" applyNumberFormat="1" applyBorder="1" applyAlignment="1" applyProtection="1">
      <alignment horizontal="center"/>
    </xf>
    <xf numFmtId="49" fontId="38" fillId="0" borderId="100" xfId="1" applyNumberFormat="1" applyBorder="1" applyAlignment="1" applyProtection="1">
      <alignment horizontal="center"/>
    </xf>
    <xf numFmtId="166" fontId="89" fillId="0" borderId="0" xfId="2" applyNumberFormat="1" applyFont="1" applyBorder="1" applyAlignment="1" applyProtection="1">
      <alignment horizontal="center" vertical="center" wrapText="1"/>
    </xf>
    <xf numFmtId="166" fontId="89" fillId="0" borderId="0" xfId="2" applyNumberFormat="1" applyFont="1" applyAlignment="1" applyProtection="1">
      <alignment horizontal="center" vertical="center" wrapText="1"/>
    </xf>
    <xf numFmtId="0" fontId="43" fillId="0" borderId="99" xfId="2" applyFont="1" applyFill="1" applyBorder="1" applyAlignment="1">
      <alignment horizontal="center" vertical="center" wrapText="1"/>
    </xf>
    <xf numFmtId="0" fontId="37" fillId="0" borderId="0" xfId="10" applyFont="1" applyAlignment="1" applyProtection="1">
      <alignment horizontal="left" vertical="center"/>
    </xf>
    <xf numFmtId="0" fontId="37" fillId="0" borderId="0" xfId="10" applyFont="1" applyAlignment="1" applyProtection="1">
      <alignment horizontal="center" vertical="center"/>
    </xf>
    <xf numFmtId="0" fontId="2" fillId="0" borderId="0" xfId="10"/>
    <xf numFmtId="0" fontId="91" fillId="0" borderId="0" xfId="10" applyFont="1" applyAlignment="1" applyProtection="1">
      <alignment vertical="center"/>
    </xf>
    <xf numFmtId="0" fontId="37" fillId="0" borderId="0" xfId="10" applyFont="1" applyBorder="1" applyAlignment="1" applyProtection="1">
      <alignment horizontal="center" vertical="center"/>
    </xf>
    <xf numFmtId="0" fontId="93" fillId="0" borderId="87" xfId="10" applyFont="1" applyBorder="1" applyAlignment="1" applyProtection="1">
      <alignment horizontal="center" vertical="center"/>
    </xf>
    <xf numFmtId="0" fontId="35" fillId="0" borderId="80" xfId="10" applyFont="1" applyBorder="1" applyAlignment="1" applyProtection="1">
      <alignment horizontal="center" vertical="center"/>
    </xf>
    <xf numFmtId="0" fontId="37" fillId="0" borderId="88" xfId="10" applyFont="1" applyBorder="1" applyAlignment="1" applyProtection="1">
      <alignment horizontal="center" vertical="center"/>
    </xf>
    <xf numFmtId="0" fontId="35" fillId="0" borderId="88" xfId="10" applyFont="1" applyBorder="1" applyAlignment="1" applyProtection="1">
      <alignment horizontal="center" vertical="center" wrapText="1"/>
    </xf>
    <xf numFmtId="0" fontId="35" fillId="0" borderId="88" xfId="10" applyFont="1" applyBorder="1" applyAlignment="1" applyProtection="1">
      <alignment horizontal="center" vertical="center"/>
    </xf>
    <xf numFmtId="0" fontId="37" fillId="0" borderId="61" xfId="10" applyFont="1" applyBorder="1" applyAlignment="1" applyProtection="1">
      <alignment horizontal="center" vertical="center"/>
    </xf>
    <xf numFmtId="0" fontId="37" fillId="0" borderId="87" xfId="10" applyFont="1" applyBorder="1" applyAlignment="1" applyProtection="1">
      <alignment horizontal="center" vertical="center"/>
    </xf>
    <xf numFmtId="0" fontId="2" fillId="0" borderId="88" xfId="10" applyBorder="1"/>
    <xf numFmtId="0" fontId="95" fillId="0" borderId="77" xfId="10" applyFont="1" applyBorder="1" applyAlignment="1" applyProtection="1">
      <alignment horizontal="center" vertical="center"/>
    </xf>
    <xf numFmtId="1" fontId="38" fillId="2" borderId="6" xfId="10" applyNumberFormat="1" applyFont="1" applyFill="1" applyBorder="1" applyAlignment="1" applyProtection="1">
      <alignment horizontal="center" vertical="center"/>
      <protection locked="0"/>
    </xf>
    <xf numFmtId="0" fontId="35" fillId="0" borderId="0" xfId="10" quotePrefix="1" applyFont="1" applyBorder="1" applyAlignment="1" applyProtection="1">
      <alignment horizontal="center" vertical="center"/>
    </xf>
    <xf numFmtId="1" fontId="37" fillId="9" borderId="6" xfId="10" applyNumberFormat="1" applyFont="1" applyFill="1" applyBorder="1" applyAlignment="1" applyProtection="1">
      <alignment horizontal="center" vertical="center"/>
      <protection locked="0"/>
    </xf>
    <xf numFmtId="1" fontId="35" fillId="11" borderId="6" xfId="10" applyNumberFormat="1" applyFont="1" applyFill="1" applyBorder="1" applyAlignment="1" applyProtection="1">
      <alignment horizontal="center" vertical="center"/>
    </xf>
    <xf numFmtId="0" fontId="37" fillId="0" borderId="78" xfId="10" applyFont="1" applyBorder="1" applyAlignment="1" applyProtection="1">
      <alignment horizontal="center" vertical="center"/>
    </xf>
    <xf numFmtId="0" fontId="96" fillId="0" borderId="0" xfId="10" quotePrefix="1" applyFont="1" applyBorder="1" applyAlignment="1" applyProtection="1">
      <alignment horizontal="center" vertical="center"/>
    </xf>
    <xf numFmtId="0" fontId="35" fillId="0" borderId="0" xfId="10" applyFont="1" applyBorder="1" applyAlignment="1" applyProtection="1">
      <alignment horizontal="center" vertical="center"/>
    </xf>
    <xf numFmtId="0" fontId="95" fillId="0" borderId="0" xfId="10" applyFont="1" applyBorder="1" applyAlignment="1" applyProtection="1">
      <alignment horizontal="center" vertical="center"/>
    </xf>
    <xf numFmtId="0" fontId="37" fillId="0" borderId="0" xfId="10" applyFont="1" applyBorder="1" applyProtection="1"/>
    <xf numFmtId="0" fontId="37" fillId="0" borderId="77" xfId="10" applyFont="1" applyBorder="1" applyProtection="1"/>
    <xf numFmtId="0" fontId="37" fillId="0" borderId="78" xfId="10" applyFont="1" applyBorder="1" applyProtection="1"/>
    <xf numFmtId="0" fontId="37" fillId="0" borderId="62" xfId="10" applyFont="1" applyBorder="1" applyProtection="1"/>
    <xf numFmtId="0" fontId="37" fillId="0" borderId="59" xfId="10" applyFont="1" applyBorder="1" applyProtection="1"/>
    <xf numFmtId="0" fontId="37" fillId="0" borderId="63" xfId="10" applyFont="1" applyBorder="1" applyProtection="1"/>
    <xf numFmtId="0" fontId="2" fillId="0" borderId="0" xfId="10" applyBorder="1"/>
    <xf numFmtId="0" fontId="37" fillId="0" borderId="0" xfId="10" applyFont="1" applyProtection="1"/>
    <xf numFmtId="0" fontId="37" fillId="0" borderId="62" xfId="10" applyFont="1" applyBorder="1" applyAlignment="1" applyProtection="1">
      <alignment horizontal="center" vertical="center"/>
    </xf>
    <xf numFmtId="0" fontId="37" fillId="0" borderId="59" xfId="10" applyFont="1" applyBorder="1" applyAlignment="1" applyProtection="1">
      <alignment horizontal="center" vertical="center"/>
    </xf>
    <xf numFmtId="165" fontId="97" fillId="0" borderId="59" xfId="10" applyNumberFormat="1" applyFont="1" applyBorder="1" applyAlignment="1" applyProtection="1">
      <alignment horizontal="center" vertical="center"/>
    </xf>
    <xf numFmtId="0" fontId="37" fillId="0" borderId="63" xfId="10" applyFont="1" applyBorder="1" applyAlignment="1" applyProtection="1">
      <alignment horizontal="center" vertical="center"/>
    </xf>
    <xf numFmtId="0" fontId="37" fillId="0" borderId="77" xfId="10" applyFont="1" applyBorder="1" applyAlignment="1" applyProtection="1">
      <alignment horizontal="center" vertical="center"/>
    </xf>
    <xf numFmtId="165" fontId="35" fillId="11" borderId="6" xfId="10" applyNumberFormat="1" applyFont="1" applyFill="1" applyBorder="1" applyAlignment="1" applyProtection="1">
      <alignment horizontal="center" vertical="center"/>
    </xf>
    <xf numFmtId="0" fontId="98" fillId="0" borderId="0" xfId="11"/>
    <xf numFmtId="0" fontId="98" fillId="0" borderId="62" xfId="11" applyBorder="1"/>
    <xf numFmtId="0" fontId="98" fillId="0" borderId="59" xfId="11" applyBorder="1"/>
    <xf numFmtId="0" fontId="98" fillId="0" borderId="63" xfId="11" applyBorder="1"/>
    <xf numFmtId="0" fontId="6" fillId="0" borderId="102" xfId="3" applyFont="1" applyBorder="1" applyAlignment="1">
      <alignment horizontal="center" vertical="center" wrapText="1"/>
    </xf>
    <xf numFmtId="0" fontId="2" fillId="0" borderId="101" xfId="3" applyFont="1" applyBorder="1" applyAlignment="1">
      <alignment horizontal="center" vertical="center" wrapText="1"/>
    </xf>
    <xf numFmtId="0" fontId="48" fillId="0" borderId="0" xfId="2" applyFont="1" applyBorder="1" applyAlignment="1" applyProtection="1">
      <alignment vertical="center" wrapText="1"/>
    </xf>
    <xf numFmtId="0" fontId="90" fillId="0" borderId="0" xfId="2" applyFont="1" applyBorder="1" applyAlignment="1" applyProtection="1">
      <alignment vertical="center" wrapText="1"/>
    </xf>
    <xf numFmtId="0" fontId="101" fillId="0" borderId="0" xfId="2" applyFont="1" applyBorder="1" applyAlignment="1" applyProtection="1">
      <alignment horizontal="center" vertical="center" wrapText="1"/>
    </xf>
    <xf numFmtId="0" fontId="102" fillId="0" borderId="0" xfId="2" applyFont="1" applyBorder="1" applyAlignment="1" applyProtection="1">
      <alignment horizontal="center" vertical="center" wrapText="1"/>
    </xf>
    <xf numFmtId="0" fontId="84" fillId="0" borderId="0" xfId="2" applyFont="1" applyAlignment="1">
      <alignment horizontal="center" vertical="center" wrapText="1"/>
    </xf>
    <xf numFmtId="0" fontId="22" fillId="0" borderId="0" xfId="0" applyFont="1" applyBorder="1" applyAlignment="1" applyProtection="1">
      <alignment horizontal="center"/>
    </xf>
    <xf numFmtId="0" fontId="23" fillId="2" borderId="15" xfId="0" applyFont="1" applyFill="1" applyBorder="1" applyAlignment="1" applyProtection="1">
      <alignment horizontal="center" vertical="center"/>
    </xf>
    <xf numFmtId="0" fontId="23" fillId="2" borderId="16" xfId="0" applyFont="1" applyFill="1" applyBorder="1" applyAlignment="1" applyProtection="1">
      <alignment horizontal="center" vertical="center"/>
    </xf>
    <xf numFmtId="0" fontId="23" fillId="2" borderId="17" xfId="0" applyFont="1" applyFill="1" applyBorder="1" applyAlignment="1" applyProtection="1">
      <alignment horizontal="center" vertical="center"/>
    </xf>
    <xf numFmtId="49" fontId="37" fillId="3" borderId="41" xfId="0" applyNumberFormat="1" applyFont="1" applyFill="1" applyBorder="1" applyAlignment="1" applyProtection="1">
      <alignment horizontal="left" vertical="top" wrapText="1"/>
      <protection locked="0"/>
    </xf>
    <xf numFmtId="49" fontId="37" fillId="3" borderId="42" xfId="0" applyNumberFormat="1" applyFont="1" applyFill="1" applyBorder="1" applyAlignment="1" applyProtection="1">
      <alignment horizontal="left" vertical="top" wrapText="1"/>
      <protection locked="0"/>
    </xf>
    <xf numFmtId="49" fontId="37" fillId="3" borderId="43" xfId="0" applyNumberFormat="1" applyFont="1" applyFill="1" applyBorder="1" applyAlignment="1" applyProtection="1">
      <alignment horizontal="left" vertical="top" wrapText="1"/>
      <protection locked="0"/>
    </xf>
    <xf numFmtId="49" fontId="37" fillId="3" borderId="44" xfId="0" applyNumberFormat="1" applyFont="1" applyFill="1" applyBorder="1" applyAlignment="1" applyProtection="1">
      <alignment horizontal="left" vertical="top" wrapText="1"/>
      <protection locked="0"/>
    </xf>
    <xf numFmtId="49" fontId="37" fillId="3" borderId="0" xfId="0" applyNumberFormat="1" applyFont="1" applyFill="1" applyBorder="1" applyAlignment="1" applyProtection="1">
      <alignment horizontal="left" vertical="top" wrapText="1"/>
      <protection locked="0"/>
    </xf>
    <xf numFmtId="49" fontId="37" fillId="3" borderId="45" xfId="0" applyNumberFormat="1" applyFont="1" applyFill="1" applyBorder="1" applyAlignment="1" applyProtection="1">
      <alignment horizontal="left" vertical="top" wrapText="1"/>
      <protection locked="0"/>
    </xf>
    <xf numFmtId="49" fontId="37" fillId="3" borderId="46" xfId="0" applyNumberFormat="1" applyFont="1" applyFill="1" applyBorder="1" applyAlignment="1" applyProtection="1">
      <alignment horizontal="left" vertical="top" wrapText="1"/>
      <protection locked="0"/>
    </xf>
    <xf numFmtId="49" fontId="37" fillId="3" borderId="47" xfId="0" applyNumberFormat="1" applyFont="1" applyFill="1" applyBorder="1" applyAlignment="1" applyProtection="1">
      <alignment horizontal="left" vertical="top" wrapText="1"/>
      <protection locked="0"/>
    </xf>
    <xf numFmtId="49" fontId="37" fillId="3" borderId="48" xfId="0" applyNumberFormat="1" applyFont="1" applyFill="1" applyBorder="1" applyAlignment="1" applyProtection="1">
      <alignment horizontal="left" vertical="top" wrapText="1"/>
      <protection locked="0"/>
    </xf>
    <xf numFmtId="0" fontId="60" fillId="0" borderId="47" xfId="0" applyFont="1" applyBorder="1" applyAlignment="1" applyProtection="1">
      <alignment horizontal="center"/>
    </xf>
    <xf numFmtId="0" fontId="57" fillId="4" borderId="0" xfId="0" applyFont="1" applyFill="1" applyAlignment="1" applyProtection="1">
      <alignment horizontal="center" vertical="center" textRotation="90"/>
    </xf>
    <xf numFmtId="0" fontId="23" fillId="9" borderId="15" xfId="0" applyFont="1" applyFill="1" applyBorder="1" applyAlignment="1" applyProtection="1">
      <alignment horizontal="center" vertical="center"/>
    </xf>
    <xf numFmtId="0" fontId="23" fillId="9" borderId="16" xfId="0" applyFont="1" applyFill="1" applyBorder="1" applyAlignment="1" applyProtection="1">
      <alignment horizontal="center" vertical="center"/>
    </xf>
    <xf numFmtId="0" fontId="23" fillId="9" borderId="17" xfId="0" applyFont="1" applyFill="1" applyBorder="1" applyAlignment="1" applyProtection="1">
      <alignment horizontal="center" vertical="center"/>
    </xf>
    <xf numFmtId="0" fontId="25" fillId="0" borderId="47" xfId="0" applyFont="1" applyBorder="1" applyAlignment="1" applyProtection="1">
      <alignment horizontal="center" vertical="center"/>
    </xf>
    <xf numFmtId="0" fontId="83" fillId="0" borderId="59" xfId="0" applyFont="1" applyBorder="1" applyAlignment="1" applyProtection="1">
      <alignment horizontal="center" vertical="center"/>
    </xf>
    <xf numFmtId="49" fontId="67" fillId="3" borderId="79" xfId="0" applyNumberFormat="1" applyFont="1" applyFill="1" applyBorder="1" applyAlignment="1" applyProtection="1">
      <alignment horizontal="center" vertical="center"/>
      <protection locked="0"/>
    </xf>
    <xf numFmtId="49" fontId="67" fillId="3" borderId="80" xfId="0" applyNumberFormat="1" applyFont="1" applyFill="1" applyBorder="1" applyAlignment="1" applyProtection="1">
      <alignment horizontal="center" vertical="center"/>
      <protection locked="0"/>
    </xf>
    <xf numFmtId="49" fontId="67" fillId="3" borderId="81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justify"/>
    </xf>
    <xf numFmtId="0" fontId="23" fillId="3" borderId="16" xfId="0" applyFont="1" applyFill="1" applyBorder="1" applyAlignment="1" applyProtection="1">
      <alignment horizontal="center" vertical="justify"/>
    </xf>
    <xf numFmtId="0" fontId="23" fillId="3" borderId="17" xfId="0" applyFont="1" applyFill="1" applyBorder="1" applyAlignment="1" applyProtection="1">
      <alignment horizontal="center" vertical="justify"/>
    </xf>
    <xf numFmtId="49" fontId="16" fillId="0" borderId="27" xfId="0" applyNumberFormat="1" applyFont="1" applyBorder="1" applyAlignment="1" applyProtection="1">
      <alignment horizontal="center" vertical="center"/>
    </xf>
    <xf numFmtId="49" fontId="16" fillId="0" borderId="31" xfId="0" applyNumberFormat="1" applyFont="1" applyBorder="1" applyAlignment="1" applyProtection="1">
      <alignment horizontal="center" vertical="center"/>
    </xf>
    <xf numFmtId="49" fontId="16" fillId="0" borderId="33" xfId="0" applyNumberFormat="1" applyFont="1" applyBorder="1" applyAlignment="1" applyProtection="1">
      <alignment horizontal="center" vertical="center"/>
    </xf>
    <xf numFmtId="49" fontId="16" fillId="0" borderId="34" xfId="0" applyNumberFormat="1" applyFont="1" applyBorder="1" applyAlignment="1" applyProtection="1">
      <alignment horizontal="center" vertical="center"/>
    </xf>
    <xf numFmtId="49" fontId="16" fillId="0" borderId="29" xfId="0" applyNumberFormat="1" applyFont="1" applyBorder="1" applyAlignment="1" applyProtection="1">
      <alignment horizontal="center" vertical="center"/>
    </xf>
    <xf numFmtId="49" fontId="16" fillId="0" borderId="32" xfId="0" applyNumberFormat="1" applyFont="1" applyBorder="1" applyAlignment="1" applyProtection="1">
      <alignment horizontal="center" vertical="center"/>
    </xf>
    <xf numFmtId="0" fontId="15" fillId="0" borderId="33" xfId="0" applyFont="1" applyBorder="1" applyAlignment="1" applyProtection="1">
      <alignment horizontal="center" vertical="center"/>
    </xf>
    <xf numFmtId="0" fontId="15" fillId="0" borderId="34" xfId="0" applyFont="1" applyBorder="1" applyAlignment="1" applyProtection="1">
      <alignment horizontal="center" vertical="center"/>
    </xf>
    <xf numFmtId="49" fontId="16" fillId="0" borderId="19" xfId="0" applyNumberFormat="1" applyFont="1" applyBorder="1" applyAlignment="1" applyProtection="1">
      <alignment horizontal="center" vertical="center"/>
    </xf>
    <xf numFmtId="49" fontId="16" fillId="0" borderId="22" xfId="0" applyNumberFormat="1" applyFont="1" applyBorder="1" applyAlignment="1" applyProtection="1">
      <alignment horizontal="center" vertical="center"/>
    </xf>
    <xf numFmtId="49" fontId="16" fillId="0" borderId="38" xfId="0" applyNumberFormat="1" applyFont="1" applyBorder="1" applyAlignment="1" applyProtection="1">
      <alignment horizontal="center" vertical="center"/>
    </xf>
    <xf numFmtId="0" fontId="46" fillId="0" borderId="0" xfId="2" applyFont="1" applyBorder="1" applyAlignment="1" applyProtection="1">
      <alignment horizontal="center" vertical="center" wrapText="1"/>
    </xf>
    <xf numFmtId="0" fontId="65" fillId="0" borderId="76" xfId="2" applyFont="1" applyBorder="1" applyAlignment="1">
      <alignment horizontal="center" vertical="center" wrapText="1"/>
    </xf>
    <xf numFmtId="0" fontId="65" fillId="0" borderId="0" xfId="2" applyFont="1" applyBorder="1" applyAlignment="1">
      <alignment horizontal="center" vertical="center" wrapText="1"/>
    </xf>
    <xf numFmtId="0" fontId="25" fillId="0" borderId="47" xfId="0" applyFont="1" applyBorder="1" applyAlignment="1" applyProtection="1">
      <alignment horizontal="center"/>
    </xf>
    <xf numFmtId="0" fontId="65" fillId="0" borderId="76" xfId="2" applyFont="1" applyBorder="1" applyAlignment="1" applyProtection="1">
      <alignment horizontal="center" vertical="center" wrapText="1"/>
    </xf>
    <xf numFmtId="0" fontId="65" fillId="0" borderId="0" xfId="2" applyFont="1" applyBorder="1" applyAlignment="1" applyProtection="1">
      <alignment horizontal="center" vertical="center" wrapText="1"/>
    </xf>
    <xf numFmtId="0" fontId="50" fillId="0" borderId="39" xfId="0" applyFont="1" applyBorder="1" applyAlignment="1" applyProtection="1">
      <alignment horizontal="center" vertical="center"/>
    </xf>
    <xf numFmtId="49" fontId="68" fillId="0" borderId="79" xfId="0" applyNumberFormat="1" applyFont="1" applyBorder="1" applyAlignment="1" applyProtection="1">
      <alignment horizontal="center" vertical="justify"/>
    </xf>
    <xf numFmtId="0" fontId="68" fillId="0" borderId="80" xfId="0" applyNumberFormat="1" applyFont="1" applyBorder="1" applyAlignment="1" applyProtection="1">
      <alignment horizontal="center" vertical="justify"/>
    </xf>
    <xf numFmtId="0" fontId="68" fillId="0" borderId="81" xfId="0" applyNumberFormat="1" applyFont="1" applyBorder="1" applyAlignment="1" applyProtection="1">
      <alignment horizontal="center" vertical="justify"/>
    </xf>
    <xf numFmtId="0" fontId="50" fillId="0" borderId="0" xfId="0" applyFont="1" applyBorder="1" applyAlignment="1" applyProtection="1">
      <alignment horizontal="center" vertical="center"/>
    </xf>
    <xf numFmtId="49" fontId="16" fillId="0" borderId="27" xfId="0" applyNumberFormat="1" applyFont="1" applyBorder="1" applyAlignment="1" applyProtection="1">
      <alignment horizontal="center"/>
    </xf>
    <xf numFmtId="49" fontId="16" fillId="0" borderId="49" xfId="0" applyNumberFormat="1" applyFont="1" applyBorder="1" applyAlignment="1" applyProtection="1">
      <alignment horizontal="center"/>
    </xf>
    <xf numFmtId="1" fontId="27" fillId="2" borderId="29" xfId="0" applyNumberFormat="1" applyFont="1" applyFill="1" applyBorder="1" applyAlignment="1" applyProtection="1">
      <alignment horizontal="center" vertical="center"/>
      <protection locked="0"/>
    </xf>
    <xf numFmtId="1" fontId="27" fillId="2" borderId="32" xfId="0" applyNumberFormat="1" applyFont="1" applyFill="1" applyBorder="1" applyAlignment="1" applyProtection="1">
      <alignment horizontal="center" vertical="center"/>
      <protection locked="0"/>
    </xf>
    <xf numFmtId="0" fontId="37" fillId="0" borderId="31" xfId="0" applyFont="1" applyBorder="1" applyAlignment="1" applyProtection="1">
      <alignment horizontal="center" vertical="top"/>
    </xf>
    <xf numFmtId="0" fontId="37" fillId="0" borderId="50" xfId="0" applyFont="1" applyBorder="1" applyAlignment="1" applyProtection="1">
      <alignment horizontal="center" vertical="top"/>
    </xf>
    <xf numFmtId="1" fontId="27" fillId="2" borderId="52" xfId="0" applyNumberFormat="1" applyFont="1" applyFill="1" applyBorder="1" applyAlignment="1" applyProtection="1">
      <alignment horizontal="center" vertical="center"/>
      <protection locked="0"/>
    </xf>
    <xf numFmtId="1" fontId="27" fillId="2" borderId="9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center"/>
    </xf>
    <xf numFmtId="0" fontId="23" fillId="3" borderId="16" xfId="0" applyFont="1" applyFill="1" applyBorder="1" applyAlignment="1" applyProtection="1">
      <alignment horizontal="center" vertical="center"/>
    </xf>
    <xf numFmtId="0" fontId="23" fillId="3" borderId="17" xfId="0" applyFont="1" applyFill="1" applyBorder="1" applyAlignment="1" applyProtection="1">
      <alignment horizontal="center" vertical="center"/>
    </xf>
    <xf numFmtId="49" fontId="16" fillId="0" borderId="27" xfId="0" applyNumberFormat="1" applyFont="1" applyBorder="1" applyAlignment="1" applyProtection="1">
      <alignment horizontal="center" vertical="center" wrapText="1"/>
    </xf>
    <xf numFmtId="49" fontId="16" fillId="0" borderId="49" xfId="0" applyNumberFormat="1" applyFont="1" applyBorder="1" applyAlignment="1" applyProtection="1">
      <alignment horizontal="center" vertical="center"/>
    </xf>
    <xf numFmtId="49" fontId="16" fillId="0" borderId="50" xfId="0" applyNumberFormat="1" applyFont="1" applyBorder="1" applyAlignment="1" applyProtection="1">
      <alignment horizontal="center" vertical="center"/>
    </xf>
    <xf numFmtId="0" fontId="20" fillId="0" borderId="39" xfId="0" applyFont="1" applyBorder="1" applyAlignment="1" applyProtection="1">
      <alignment horizontal="center" vertical="center"/>
    </xf>
    <xf numFmtId="0" fontId="57" fillId="6" borderId="0" xfId="0" applyFont="1" applyFill="1" applyAlignment="1" applyProtection="1">
      <alignment horizontal="center" vertical="center" textRotation="90"/>
    </xf>
    <xf numFmtId="49" fontId="68" fillId="3" borderId="79" xfId="0" applyNumberFormat="1" applyFont="1" applyFill="1" applyBorder="1" applyAlignment="1" applyProtection="1">
      <alignment horizontal="center" vertical="justify"/>
      <protection locked="0"/>
    </xf>
    <xf numFmtId="49" fontId="68" fillId="3" borderId="80" xfId="0" applyNumberFormat="1" applyFont="1" applyFill="1" applyBorder="1" applyAlignment="1" applyProtection="1">
      <alignment horizontal="center" vertical="justify"/>
      <protection locked="0"/>
    </xf>
    <xf numFmtId="49" fontId="68" fillId="3" borderId="81" xfId="0" applyNumberFormat="1" applyFont="1" applyFill="1" applyBorder="1" applyAlignment="1" applyProtection="1">
      <alignment horizontal="center" vertical="justify"/>
      <protection locked="0"/>
    </xf>
    <xf numFmtId="0" fontId="20" fillId="0" borderId="0" xfId="0" applyFont="1" applyBorder="1" applyAlignment="1" applyProtection="1">
      <alignment horizontal="center" vertical="center"/>
    </xf>
    <xf numFmtId="0" fontId="83" fillId="0" borderId="92" xfId="0" applyFont="1" applyBorder="1" applyAlignment="1" applyProtection="1">
      <alignment horizontal="center" vertical="center"/>
    </xf>
    <xf numFmtId="0" fontId="16" fillId="0" borderId="57" xfId="0" applyFont="1" applyBorder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 vertical="center"/>
    </xf>
    <xf numFmtId="1" fontId="16" fillId="0" borderId="54" xfId="0" applyNumberFormat="1" applyFont="1" applyBorder="1" applyAlignment="1" applyProtection="1">
      <alignment horizontal="center" vertical="justify"/>
    </xf>
    <xf numFmtId="1" fontId="16" fillId="0" borderId="55" xfId="0" applyNumberFormat="1" applyFont="1" applyBorder="1" applyAlignment="1" applyProtection="1">
      <alignment horizontal="center" vertical="justify"/>
    </xf>
    <xf numFmtId="0" fontId="16" fillId="0" borderId="52" xfId="0" applyFont="1" applyBorder="1" applyAlignment="1" applyProtection="1">
      <alignment horizontal="center" vertical="center"/>
    </xf>
    <xf numFmtId="0" fontId="16" fillId="0" borderId="9" xfId="0" applyFont="1" applyBorder="1" applyAlignment="1" applyProtection="1">
      <alignment horizontal="center" vertical="center"/>
    </xf>
    <xf numFmtId="49" fontId="24" fillId="3" borderId="82" xfId="0" applyNumberFormat="1" applyFont="1" applyFill="1" applyBorder="1" applyAlignment="1" applyProtection="1">
      <alignment horizontal="center" vertical="justify"/>
      <protection locked="0"/>
    </xf>
    <xf numFmtId="49" fontId="24" fillId="3" borderId="83" xfId="0" applyNumberFormat="1" applyFont="1" applyFill="1" applyBorder="1" applyAlignment="1" applyProtection="1">
      <alignment horizontal="center" vertical="justify"/>
      <protection locked="0"/>
    </xf>
    <xf numFmtId="49" fontId="24" fillId="3" borderId="13" xfId="0" applyNumberFormat="1" applyFont="1" applyFill="1" applyBorder="1" applyAlignment="1" applyProtection="1">
      <alignment horizontal="center" vertical="justify"/>
      <protection locked="0"/>
    </xf>
    <xf numFmtId="0" fontId="36" fillId="0" borderId="0" xfId="0" applyFont="1" applyBorder="1" applyAlignment="1" applyProtection="1">
      <alignment horizontal="right" vertical="center"/>
    </xf>
    <xf numFmtId="0" fontId="87" fillId="0" borderId="47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 vertical="justify"/>
    </xf>
    <xf numFmtId="0" fontId="16" fillId="0" borderId="32" xfId="0" applyFont="1" applyBorder="1" applyAlignment="1" applyProtection="1">
      <alignment horizontal="center" vertical="justify"/>
    </xf>
    <xf numFmtId="0" fontId="22" fillId="0" borderId="18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 vertical="center"/>
    </xf>
    <xf numFmtId="0" fontId="16" fillId="0" borderId="32" xfId="0" applyFont="1" applyBorder="1" applyAlignment="1" applyProtection="1">
      <alignment horizontal="center" vertical="center"/>
    </xf>
    <xf numFmtId="0" fontId="16" fillId="0" borderId="54" xfId="0" applyFont="1" applyBorder="1" applyAlignment="1" applyProtection="1">
      <alignment horizontal="center" vertical="justify"/>
    </xf>
    <xf numFmtId="0" fontId="16" fillId="0" borderId="55" xfId="0" applyFont="1" applyBorder="1" applyAlignment="1" applyProtection="1">
      <alignment horizontal="center" vertical="justify"/>
    </xf>
    <xf numFmtId="0" fontId="16" fillId="0" borderId="53" xfId="0" applyFont="1" applyBorder="1" applyAlignment="1" applyProtection="1">
      <alignment horizontal="center" vertical="center"/>
    </xf>
    <xf numFmtId="0" fontId="16" fillId="0" borderId="51" xfId="0" applyFont="1" applyBorder="1" applyAlignment="1" applyProtection="1">
      <alignment horizontal="center" vertical="center"/>
    </xf>
    <xf numFmtId="0" fontId="66" fillId="8" borderId="79" xfId="0" applyFont="1" applyFill="1" applyBorder="1" applyAlignment="1" applyProtection="1">
      <alignment horizontal="center" vertical="center"/>
    </xf>
    <xf numFmtId="0" fontId="66" fillId="8" borderId="80" xfId="0" applyFont="1" applyFill="1" applyBorder="1" applyAlignment="1" applyProtection="1">
      <alignment horizontal="center" vertical="center"/>
    </xf>
    <xf numFmtId="0" fontId="66" fillId="8" borderId="81" xfId="0" applyFont="1" applyFill="1" applyBorder="1" applyAlignment="1" applyProtection="1">
      <alignment horizontal="center" vertical="center"/>
    </xf>
    <xf numFmtId="0" fontId="16" fillId="0" borderId="58" xfId="0" applyFont="1" applyBorder="1" applyAlignment="1" applyProtection="1">
      <alignment horizontal="center" vertical="center"/>
    </xf>
    <xf numFmtId="0" fontId="16" fillId="0" borderId="8" xfId="0" applyFont="1" applyBorder="1" applyAlignment="1" applyProtection="1">
      <alignment horizontal="center" vertical="center"/>
    </xf>
    <xf numFmtId="0" fontId="87" fillId="0" borderId="0" xfId="0" applyFont="1" applyBorder="1" applyAlignment="1" applyProtection="1">
      <alignment horizontal="center"/>
    </xf>
    <xf numFmtId="0" fontId="88" fillId="0" borderId="0" xfId="2" applyFont="1" applyAlignment="1">
      <alignment horizontal="center" vertical="center" wrapText="1"/>
    </xf>
    <xf numFmtId="0" fontId="63" fillId="0" borderId="53" xfId="3" applyFont="1" applyBorder="1" applyAlignment="1">
      <alignment horizontal="center" vertical="center"/>
    </xf>
    <xf numFmtId="0" fontId="63" fillId="0" borderId="66" xfId="3" applyFont="1" applyBorder="1" applyAlignment="1">
      <alignment horizontal="center" vertical="center"/>
    </xf>
    <xf numFmtId="0" fontId="63" fillId="0" borderId="51" xfId="3" applyFont="1" applyBorder="1" applyAlignment="1">
      <alignment horizontal="center" vertical="center"/>
    </xf>
    <xf numFmtId="0" fontId="63" fillId="0" borderId="29" xfId="3" applyFont="1" applyBorder="1" applyAlignment="1">
      <alignment horizontal="center" vertical="center"/>
    </xf>
    <xf numFmtId="0" fontId="63" fillId="0" borderId="67" xfId="3" applyFont="1" applyBorder="1" applyAlignment="1">
      <alignment horizontal="center" vertical="center"/>
    </xf>
    <xf numFmtId="0" fontId="63" fillId="0" borderId="32" xfId="3" applyFont="1" applyBorder="1" applyAlignment="1">
      <alignment horizontal="center" vertical="center"/>
    </xf>
    <xf numFmtId="0" fontId="63" fillId="0" borderId="29" xfId="3" applyFont="1" applyBorder="1" applyAlignment="1">
      <alignment horizontal="center" vertical="center" wrapText="1"/>
    </xf>
    <xf numFmtId="49" fontId="79" fillId="0" borderId="39" xfId="9" applyNumberFormat="1" applyFont="1" applyBorder="1" applyAlignment="1" applyProtection="1">
      <alignment horizontal="center" vertical="center"/>
    </xf>
    <xf numFmtId="49" fontId="31" fillId="0" borderId="31" xfId="9" applyNumberFormat="1" applyFont="1" applyBorder="1" applyAlignment="1" applyProtection="1">
      <alignment horizontal="center" vertical="center"/>
    </xf>
    <xf numFmtId="49" fontId="31" fillId="0" borderId="72" xfId="9" applyNumberFormat="1" applyFont="1" applyBorder="1" applyAlignment="1" applyProtection="1">
      <alignment horizontal="center" vertical="center"/>
    </xf>
    <xf numFmtId="49" fontId="33" fillId="0" borderId="68" xfId="9" quotePrefix="1" applyNumberFormat="1" applyFont="1" applyBorder="1" applyAlignment="1" applyProtection="1">
      <alignment horizontal="center" vertical="center" wrapText="1"/>
    </xf>
    <xf numFmtId="49" fontId="33" fillId="0" borderId="4" xfId="9" applyNumberFormat="1" applyFont="1" applyBorder="1" applyAlignment="1" applyProtection="1">
      <alignment horizontal="center" vertical="center"/>
    </xf>
    <xf numFmtId="49" fontId="33" fillId="0" borderId="68" xfId="9" applyNumberFormat="1" applyFont="1" applyBorder="1" applyAlignment="1" applyProtection="1">
      <alignment horizontal="center" vertical="center" wrapText="1"/>
    </xf>
    <xf numFmtId="49" fontId="33" fillId="0" borderId="68" xfId="9" applyNumberFormat="1" applyFont="1" applyBorder="1" applyAlignment="1" applyProtection="1">
      <alignment horizontal="center" vertical="center"/>
    </xf>
    <xf numFmtId="49" fontId="33" fillId="0" borderId="4" xfId="9" applyNumberFormat="1" applyFont="1" applyBorder="1" applyAlignment="1" applyProtection="1">
      <alignment horizontal="center" vertical="center" wrapText="1"/>
    </xf>
    <xf numFmtId="49" fontId="33" fillId="0" borderId="27" xfId="9" applyNumberFormat="1" applyFont="1" applyBorder="1" applyAlignment="1" applyProtection="1">
      <alignment horizontal="center" vertical="center" wrapText="1"/>
    </xf>
    <xf numFmtId="49" fontId="33" fillId="0" borderId="69" xfId="9" applyNumberFormat="1" applyFont="1" applyBorder="1" applyAlignment="1" applyProtection="1">
      <alignment horizontal="center" vertical="center" wrapText="1"/>
    </xf>
    <xf numFmtId="49" fontId="33" fillId="0" borderId="69" xfId="9" applyNumberFormat="1" applyFont="1" applyBorder="1" applyAlignment="1" applyProtection="1">
      <alignment horizontal="center" vertical="center"/>
    </xf>
    <xf numFmtId="49" fontId="33" fillId="0" borderId="70" xfId="9" applyNumberFormat="1" applyFont="1" applyBorder="1" applyAlignment="1" applyProtection="1">
      <alignment horizontal="center" vertical="center" wrapText="1"/>
    </xf>
    <xf numFmtId="49" fontId="33" fillId="0" borderId="71" xfId="9" applyNumberFormat="1" applyFont="1" applyBorder="1" applyAlignment="1" applyProtection="1">
      <alignment horizontal="center" vertical="center" wrapText="1"/>
    </xf>
    <xf numFmtId="49" fontId="88" fillId="0" borderId="0" xfId="2" applyNumberFormat="1" applyFont="1" applyFill="1" applyBorder="1" applyAlignment="1" applyProtection="1">
      <alignment horizontal="center" vertical="center" wrapText="1"/>
    </xf>
    <xf numFmtId="0" fontId="39" fillId="0" borderId="0" xfId="1" applyFont="1" applyBorder="1" applyAlignment="1" applyProtection="1">
      <alignment horizontal="center" vertical="center"/>
    </xf>
    <xf numFmtId="0" fontId="33" fillId="0" borderId="59" xfId="1" applyFont="1" applyBorder="1" applyAlignment="1">
      <alignment horizontal="center" vertical="center"/>
    </xf>
    <xf numFmtId="0" fontId="40" fillId="0" borderId="60" xfId="1" applyFont="1" applyBorder="1" applyAlignment="1" applyProtection="1">
      <alignment horizontal="center" vertical="center"/>
    </xf>
    <xf numFmtId="0" fontId="40" fillId="0" borderId="61" xfId="1" applyFont="1" applyBorder="1" applyAlignment="1" applyProtection="1">
      <alignment horizontal="center" vertical="center"/>
    </xf>
    <xf numFmtId="0" fontId="42" fillId="0" borderId="62" xfId="1" applyFont="1" applyBorder="1" applyAlignment="1">
      <alignment horizontal="center" vertical="center"/>
    </xf>
    <xf numFmtId="0" fontId="42" fillId="0" borderId="63" xfId="1" applyFont="1" applyBorder="1" applyAlignment="1">
      <alignment horizontal="center" vertical="center"/>
    </xf>
    <xf numFmtId="0" fontId="57" fillId="10" borderId="0" xfId="0" applyFont="1" applyFill="1" applyAlignment="1" applyProtection="1">
      <alignment horizontal="center" vertical="center" textRotation="90"/>
    </xf>
    <xf numFmtId="49" fontId="70" fillId="10" borderId="87" xfId="0" applyNumberFormat="1" applyFont="1" applyFill="1" applyBorder="1" applyAlignment="1" applyProtection="1">
      <alignment horizontal="center" vertical="justify"/>
    </xf>
    <xf numFmtId="49" fontId="70" fillId="10" borderId="88" xfId="0" applyNumberFormat="1" applyFont="1" applyFill="1" applyBorder="1" applyAlignment="1" applyProtection="1">
      <alignment horizontal="center" vertical="justify"/>
    </xf>
    <xf numFmtId="49" fontId="70" fillId="10" borderId="61" xfId="0" applyNumberFormat="1" applyFont="1" applyFill="1" applyBorder="1" applyAlignment="1" applyProtection="1">
      <alignment horizontal="center" vertical="justify"/>
    </xf>
    <xf numFmtId="49" fontId="16" fillId="0" borderId="3" xfId="0" applyNumberFormat="1" applyFont="1" applyBorder="1" applyAlignment="1" applyProtection="1">
      <alignment horizontal="center" vertical="center"/>
    </xf>
    <xf numFmtId="49" fontId="16" fillId="0" borderId="5" xfId="0" applyNumberFormat="1" applyFont="1" applyBorder="1" applyAlignment="1" applyProtection="1">
      <alignment horizontal="center" vertical="center"/>
    </xf>
    <xf numFmtId="0" fontId="69" fillId="3" borderId="82" xfId="0" applyFont="1" applyFill="1" applyBorder="1" applyAlignment="1" applyProtection="1">
      <alignment horizontal="center" vertical="center"/>
      <protection locked="0"/>
    </xf>
    <xf numFmtId="0" fontId="69" fillId="3" borderId="83" xfId="0" applyFont="1" applyFill="1" applyBorder="1" applyAlignment="1" applyProtection="1">
      <alignment horizontal="center" vertical="center"/>
      <protection locked="0"/>
    </xf>
    <xf numFmtId="0" fontId="69" fillId="3" borderId="13" xfId="0" applyFont="1" applyFill="1" applyBorder="1" applyAlignment="1" applyProtection="1">
      <alignment horizontal="center" vertical="center"/>
      <protection locked="0"/>
    </xf>
    <xf numFmtId="49" fontId="70" fillId="10" borderId="93" xfId="0" applyNumberFormat="1" applyFont="1" applyFill="1" applyBorder="1" applyAlignment="1" applyProtection="1">
      <alignment horizontal="center" vertical="justify"/>
    </xf>
    <xf numFmtId="49" fontId="70" fillId="10" borderId="92" xfId="0" applyNumberFormat="1" applyFont="1" applyFill="1" applyBorder="1" applyAlignment="1" applyProtection="1">
      <alignment horizontal="center" vertical="justify"/>
    </xf>
    <xf numFmtId="49" fontId="70" fillId="10" borderId="94" xfId="0" applyNumberFormat="1" applyFont="1" applyFill="1" applyBorder="1" applyAlignment="1" applyProtection="1">
      <alignment horizontal="center" vertical="justify"/>
    </xf>
    <xf numFmtId="0" fontId="88" fillId="0" borderId="0" xfId="2" applyFont="1" applyAlignment="1" applyProtection="1">
      <alignment horizontal="center" vertical="center" wrapText="1"/>
    </xf>
    <xf numFmtId="0" fontId="92" fillId="0" borderId="0" xfId="10" applyFont="1" applyAlignment="1" applyProtection="1">
      <alignment horizontal="center" vertical="center"/>
    </xf>
    <xf numFmtId="0" fontId="35" fillId="0" borderId="77" xfId="10" quotePrefix="1" applyFont="1" applyBorder="1" applyAlignment="1" applyProtection="1">
      <alignment horizontal="center" vertical="center"/>
    </xf>
    <xf numFmtId="0" fontId="35" fillId="0" borderId="77" xfId="10" applyFont="1" applyBorder="1" applyAlignment="1" applyProtection="1">
      <alignment horizontal="center" vertical="center"/>
    </xf>
    <xf numFmtId="0" fontId="35" fillId="0" borderId="59" xfId="10" applyFont="1" applyBorder="1" applyAlignment="1" applyProtection="1">
      <alignment horizontal="right" vertical="center"/>
    </xf>
    <xf numFmtId="49" fontId="99" fillId="0" borderId="15" xfId="1" applyNumberFormat="1" applyFont="1" applyBorder="1" applyAlignment="1" applyProtection="1">
      <alignment horizontal="center" vertical="center"/>
    </xf>
    <xf numFmtId="49" fontId="99" fillId="0" borderId="16" xfId="1" applyNumberFormat="1" applyFont="1" applyBorder="1" applyAlignment="1" applyProtection="1">
      <alignment horizontal="center" vertical="center"/>
    </xf>
    <xf numFmtId="49" fontId="99" fillId="0" borderId="17" xfId="1" applyNumberFormat="1" applyFont="1" applyBorder="1" applyAlignment="1" applyProtection="1">
      <alignment horizontal="center" vertical="center"/>
    </xf>
    <xf numFmtId="0" fontId="87" fillId="0" borderId="105" xfId="10" applyFont="1" applyBorder="1" applyAlignment="1" applyProtection="1">
      <alignment horizontal="center" vertical="center"/>
    </xf>
    <xf numFmtId="0" fontId="87" fillId="0" borderId="106" xfId="10" applyFont="1" applyBorder="1" applyAlignment="1" applyProtection="1">
      <alignment horizontal="center" vertical="center"/>
    </xf>
    <xf numFmtId="0" fontId="87" fillId="0" borderId="107" xfId="10" applyFont="1" applyBorder="1" applyAlignment="1" applyProtection="1">
      <alignment horizontal="center" vertical="center"/>
    </xf>
    <xf numFmtId="0" fontId="100" fillId="2" borderId="15" xfId="1" applyFont="1" applyFill="1" applyBorder="1" applyAlignment="1" applyProtection="1">
      <alignment horizontal="center" vertical="center"/>
    </xf>
    <xf numFmtId="0" fontId="100" fillId="2" borderId="16" xfId="1" applyFont="1" applyFill="1" applyBorder="1" applyAlignment="1" applyProtection="1">
      <alignment horizontal="center" vertical="center"/>
    </xf>
    <xf numFmtId="0" fontId="100" fillId="2" borderId="17" xfId="1" applyFont="1" applyFill="1" applyBorder="1" applyAlignment="1" applyProtection="1">
      <alignment horizontal="center" vertical="center"/>
    </xf>
    <xf numFmtId="49" fontId="37" fillId="3" borderId="105" xfId="10" applyNumberFormat="1" applyFont="1" applyFill="1" applyBorder="1" applyAlignment="1" applyProtection="1">
      <alignment horizontal="left" vertical="top" wrapText="1"/>
      <protection locked="0"/>
    </xf>
    <xf numFmtId="49" fontId="37" fillId="3" borderId="106" xfId="10" applyNumberFormat="1" applyFont="1" applyFill="1" applyBorder="1" applyAlignment="1" applyProtection="1">
      <alignment horizontal="left" vertical="top" wrapText="1"/>
      <protection locked="0"/>
    </xf>
    <xf numFmtId="49" fontId="37" fillId="3" borderId="107" xfId="10" applyNumberFormat="1" applyFont="1" applyFill="1" applyBorder="1" applyAlignment="1" applyProtection="1">
      <alignment horizontal="left" vertical="top" wrapText="1"/>
      <protection locked="0"/>
    </xf>
    <xf numFmtId="0" fontId="100" fillId="9" borderId="15" xfId="1" applyFont="1" applyFill="1" applyBorder="1" applyAlignment="1" applyProtection="1">
      <alignment horizontal="center" vertical="center"/>
    </xf>
    <xf numFmtId="0" fontId="100" fillId="9" borderId="16" xfId="1" applyFont="1" applyFill="1" applyBorder="1" applyAlignment="1" applyProtection="1">
      <alignment horizontal="center" vertical="center"/>
    </xf>
    <xf numFmtId="0" fontId="100" fillId="9" borderId="17" xfId="1" applyFont="1" applyFill="1" applyBorder="1" applyAlignment="1" applyProtection="1">
      <alignment horizontal="center" vertical="center"/>
    </xf>
    <xf numFmtId="0" fontId="100" fillId="3" borderId="15" xfId="1" applyFont="1" applyFill="1" applyBorder="1" applyAlignment="1" applyProtection="1">
      <alignment horizontal="center" vertical="center"/>
    </xf>
    <xf numFmtId="0" fontId="100" fillId="3" borderId="16" xfId="1" applyFont="1" applyFill="1" applyBorder="1" applyAlignment="1" applyProtection="1">
      <alignment horizontal="center" vertical="center"/>
    </xf>
    <xf numFmtId="0" fontId="100" fillId="3" borderId="17" xfId="1" applyFont="1" applyFill="1" applyBorder="1" applyAlignment="1" applyProtection="1">
      <alignment horizontal="center" vertical="center"/>
    </xf>
    <xf numFmtId="0" fontId="100" fillId="11" borderId="15" xfId="1" applyFont="1" applyFill="1" applyBorder="1" applyAlignment="1" applyProtection="1">
      <alignment horizontal="center" vertical="center"/>
    </xf>
    <xf numFmtId="0" fontId="100" fillId="11" borderId="16" xfId="1" applyFont="1" applyFill="1" applyBorder="1" applyAlignment="1" applyProtection="1">
      <alignment horizontal="center" vertical="center"/>
    </xf>
    <xf numFmtId="0" fontId="100" fillId="11" borderId="17" xfId="1" applyFont="1" applyFill="1" applyBorder="1" applyAlignment="1" applyProtection="1">
      <alignment horizontal="center" vertical="center"/>
    </xf>
    <xf numFmtId="0" fontId="61" fillId="0" borderId="0" xfId="2" applyFont="1" applyFill="1" applyBorder="1" applyAlignment="1" applyProtection="1">
      <alignment horizontal="center" vertical="center" wrapText="1"/>
    </xf>
    <xf numFmtId="0" fontId="57" fillId="7" borderId="0" xfId="0" applyFont="1" applyFill="1" applyBorder="1" applyAlignment="1" applyProtection="1">
      <alignment horizontal="center" vertical="center" textRotation="90"/>
    </xf>
    <xf numFmtId="0" fontId="73" fillId="0" borderId="77" xfId="8" applyBorder="1"/>
    <xf numFmtId="49" fontId="103" fillId="0" borderId="108" xfId="7" applyNumberFormat="1" applyFont="1" applyBorder="1" applyAlignment="1" applyProtection="1">
      <alignment horizontal="center" vertical="center" wrapText="1"/>
    </xf>
  </cellXfs>
  <cellStyles count="12">
    <cellStyle name="Hyperlink" xfId="2" builtinId="8"/>
    <cellStyle name="Normal" xfId="0" builtinId="0"/>
    <cellStyle name="Normal 2" xfId="1"/>
    <cellStyle name="Normal 3" xfId="3"/>
    <cellStyle name="Normal 3 2" xfId="6"/>
    <cellStyle name="Normal 3 2 2" xfId="9"/>
    <cellStyle name="Normal 3 3" xfId="7"/>
    <cellStyle name="Normal 4" xfId="8"/>
    <cellStyle name="Normal 5" xfId="5"/>
    <cellStyle name="Normal 6" xfId="10"/>
    <cellStyle name="Normal 7" xfId="11"/>
    <cellStyle name="Percent 2" xfId="4"/>
  </cellStyles>
  <dxfs count="0"/>
  <tableStyles count="0" defaultTableStyle="TableStyleMedium2" defaultPivotStyle="PivotStyleLight16"/>
  <colors>
    <mruColors>
      <color rgb="FFFFFF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Iki/Desktop/%23_&#1061;&#1083;&#1103;&#1073;_&#1050;&#1074;&#1072;&#1089;-Ver.5.4.4-deskto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алк._ХЛЯБ"/>
      <sheetName val="Вода (Темп.)"/>
      <sheetName val="Раб.Квас І"/>
      <sheetName val="Раб.Квас ІІ"/>
      <sheetName val="Раб.Квас ІІI"/>
      <sheetName val="Квас (съставки)"/>
      <sheetName val="М-eтап. обновяване_КВАС I"/>
      <sheetName val="М-eтап. обновяване_КВАС II"/>
      <sheetName val="М-eтап. обновяване_КВАС III"/>
      <sheetName val="Хлебна формула"/>
      <sheetName val="Калк._ТЕСТО I"/>
      <sheetName val="Калк._ТЕСТО II-А"/>
      <sheetName val="Калк._ТЕСТО II-Б"/>
      <sheetName val="Калк._ТЕСТО III"/>
      <sheetName val="Мерни единици"/>
      <sheetName val="Топлинна загуба"/>
      <sheetName val="Протеини в брашното"/>
      <sheetName val="Тесто (изчисл.)"/>
      <sheetName val="Други к-ри I"/>
      <sheetName val="Други к-ри II"/>
      <sheetName val="Пояснения"/>
      <sheetName val="Инфо 1.4"/>
      <sheetName val="Инфо 2.4"/>
      <sheetName val="Инфо 3.4"/>
      <sheetName val="Инфо 4.4"/>
      <sheetName val="Меню"/>
      <sheetName val="Drop Down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4">
          <cell r="A4">
            <v>0</v>
          </cell>
          <cell r="B4">
            <v>0.45</v>
          </cell>
          <cell r="C4">
            <v>0</v>
          </cell>
          <cell r="D4">
            <v>0</v>
          </cell>
          <cell r="E4">
            <v>0</v>
          </cell>
        </row>
        <row r="5">
          <cell r="A5">
            <v>1E-3</v>
          </cell>
          <cell r="B5">
            <v>0.46</v>
          </cell>
          <cell r="C5">
            <v>1E-3</v>
          </cell>
          <cell r="D5">
            <v>0.01</v>
          </cell>
          <cell r="E5">
            <v>0.1</v>
          </cell>
        </row>
        <row r="6">
          <cell r="A6">
            <v>2E-3</v>
          </cell>
          <cell r="B6">
            <v>0.47</v>
          </cell>
          <cell r="C6">
            <v>2E-3</v>
          </cell>
          <cell r="D6">
            <v>0.02</v>
          </cell>
          <cell r="E6">
            <v>0.2</v>
          </cell>
        </row>
        <row r="7">
          <cell r="A7">
            <v>3.0000000000000001E-3</v>
          </cell>
          <cell r="B7">
            <v>0.48</v>
          </cell>
          <cell r="C7">
            <v>3.0000000000000001E-3</v>
          </cell>
          <cell r="D7">
            <v>0.03</v>
          </cell>
          <cell r="E7">
            <v>0.3</v>
          </cell>
        </row>
        <row r="8">
          <cell r="A8">
            <v>4.0000000000000001E-3</v>
          </cell>
          <cell r="B8">
            <v>0.49</v>
          </cell>
          <cell r="C8">
            <v>4.0000000000000001E-3</v>
          </cell>
          <cell r="D8">
            <v>0.04</v>
          </cell>
          <cell r="E8">
            <v>0.4</v>
          </cell>
        </row>
        <row r="9">
          <cell r="A9">
            <v>5.0000000000000001E-3</v>
          </cell>
          <cell r="B9">
            <v>0.5</v>
          </cell>
          <cell r="C9">
            <v>5.0000000000000001E-3</v>
          </cell>
          <cell r="D9">
            <v>0.05</v>
          </cell>
          <cell r="E9">
            <v>0.5</v>
          </cell>
        </row>
        <row r="10">
          <cell r="A10">
            <v>6.0000000000000001E-3</v>
          </cell>
          <cell r="B10">
            <v>0.51</v>
          </cell>
          <cell r="C10">
            <v>6.0000000000000001E-3</v>
          </cell>
          <cell r="D10">
            <v>0.06</v>
          </cell>
          <cell r="E10">
            <v>0.6</v>
          </cell>
        </row>
        <row r="11">
          <cell r="A11">
            <v>7.0000000000000001E-3</v>
          </cell>
          <cell r="B11">
            <v>0.52</v>
          </cell>
          <cell r="C11">
            <v>7.0000000000000001E-3</v>
          </cell>
          <cell r="D11">
            <v>7.0000000000000007E-2</v>
          </cell>
          <cell r="E11">
            <v>0.7</v>
          </cell>
        </row>
        <row r="12">
          <cell r="A12">
            <v>8.0000000000000002E-3</v>
          </cell>
          <cell r="B12">
            <v>0.53</v>
          </cell>
          <cell r="C12">
            <v>8.0000000000000002E-3</v>
          </cell>
          <cell r="D12">
            <v>0.08</v>
          </cell>
          <cell r="E12">
            <v>0.8</v>
          </cell>
        </row>
        <row r="13">
          <cell r="A13">
            <v>8.9999999999999993E-3</v>
          </cell>
          <cell r="B13">
            <v>0.54</v>
          </cell>
          <cell r="C13">
            <v>8.9999999999999993E-3</v>
          </cell>
          <cell r="D13">
            <v>0.09</v>
          </cell>
          <cell r="E13">
            <v>0.9</v>
          </cell>
        </row>
        <row r="14">
          <cell r="A14">
            <v>0.01</v>
          </cell>
          <cell r="B14">
            <v>0.55000000000000004</v>
          </cell>
          <cell r="C14">
            <v>0.01</v>
          </cell>
          <cell r="D14">
            <v>0.1</v>
          </cell>
          <cell r="E14">
            <v>1</v>
          </cell>
        </row>
        <row r="15">
          <cell r="A15">
            <v>1.0999999999999999E-2</v>
          </cell>
          <cell r="B15">
            <v>0.56000000000000005</v>
          </cell>
          <cell r="C15">
            <v>1.0999999999999999E-2</v>
          </cell>
          <cell r="D15">
            <v>0.11</v>
          </cell>
          <cell r="E15">
            <v>1.1000000000000001</v>
          </cell>
        </row>
        <row r="16">
          <cell r="A16">
            <v>1.2E-2</v>
          </cell>
          <cell r="B16">
            <v>0.56999999999999995</v>
          </cell>
          <cell r="C16">
            <v>1.2E-2</v>
          </cell>
          <cell r="D16">
            <v>0.12</v>
          </cell>
          <cell r="E16">
            <v>1.2</v>
          </cell>
        </row>
        <row r="17">
          <cell r="A17">
            <v>1.2999999999999999E-2</v>
          </cell>
          <cell r="B17">
            <v>0.57999999999999996</v>
          </cell>
          <cell r="C17">
            <v>1.2999999999999999E-2</v>
          </cell>
          <cell r="D17">
            <v>0.13</v>
          </cell>
          <cell r="E17">
            <v>1.3</v>
          </cell>
        </row>
        <row r="18">
          <cell r="A18">
            <v>1.4E-2</v>
          </cell>
          <cell r="B18">
            <v>0.59</v>
          </cell>
          <cell r="C18">
            <v>1.4E-2</v>
          </cell>
          <cell r="D18">
            <v>0.14000000000000001</v>
          </cell>
          <cell r="E18">
            <v>1.4</v>
          </cell>
        </row>
        <row r="19">
          <cell r="A19">
            <v>1.4999999999999999E-2</v>
          </cell>
          <cell r="B19">
            <v>0.6</v>
          </cell>
          <cell r="C19">
            <v>1.4999999999999999E-2</v>
          </cell>
          <cell r="D19">
            <v>0.15</v>
          </cell>
          <cell r="E19">
            <v>1.5</v>
          </cell>
        </row>
        <row r="20">
          <cell r="A20">
            <v>1.6E-2</v>
          </cell>
          <cell r="B20">
            <v>0.61</v>
          </cell>
          <cell r="C20">
            <v>1.6E-2</v>
          </cell>
          <cell r="D20">
            <v>0.16</v>
          </cell>
          <cell r="E20">
            <v>1.6</v>
          </cell>
        </row>
        <row r="21">
          <cell r="A21">
            <v>1.7000000000000001E-2</v>
          </cell>
          <cell r="B21">
            <v>0.62</v>
          </cell>
          <cell r="C21">
            <v>1.7000000000000001E-2</v>
          </cell>
          <cell r="D21">
            <v>0.17</v>
          </cell>
          <cell r="E21">
            <v>1.7</v>
          </cell>
        </row>
        <row r="22">
          <cell r="A22">
            <v>1.7999999999999999E-2</v>
          </cell>
          <cell r="B22">
            <v>0.63</v>
          </cell>
          <cell r="C22">
            <v>1.7999999999999999E-2</v>
          </cell>
          <cell r="D22">
            <v>0.18</v>
          </cell>
          <cell r="E22">
            <v>1.8</v>
          </cell>
        </row>
        <row r="23">
          <cell r="A23">
            <v>1.9E-2</v>
          </cell>
          <cell r="B23">
            <v>0.64</v>
          </cell>
          <cell r="C23">
            <v>1.9E-2</v>
          </cell>
          <cell r="D23">
            <v>0.19</v>
          </cell>
          <cell r="E23">
            <v>1.9</v>
          </cell>
        </row>
        <row r="24">
          <cell r="A24">
            <v>0.02</v>
          </cell>
          <cell r="B24">
            <v>0.65</v>
          </cell>
          <cell r="C24">
            <v>0.02</v>
          </cell>
          <cell r="D24">
            <v>0.2</v>
          </cell>
          <cell r="E24">
            <v>2</v>
          </cell>
        </row>
        <row r="25">
          <cell r="A25">
            <v>2.1000000000000001E-2</v>
          </cell>
          <cell r="B25">
            <v>0.66</v>
          </cell>
          <cell r="C25">
            <v>2.1000000000000001E-2</v>
          </cell>
          <cell r="D25">
            <v>0.21</v>
          </cell>
          <cell r="E25">
            <v>2.1</v>
          </cell>
        </row>
        <row r="26">
          <cell r="A26">
            <v>2.1999999999999999E-2</v>
          </cell>
          <cell r="B26">
            <v>0.67</v>
          </cell>
          <cell r="C26">
            <v>2.1999999999999999E-2</v>
          </cell>
          <cell r="D26">
            <v>0.22</v>
          </cell>
          <cell r="E26">
            <v>2.2000000000000002</v>
          </cell>
        </row>
        <row r="27">
          <cell r="A27">
            <v>2.3E-2</v>
          </cell>
          <cell r="B27">
            <v>0.68</v>
          </cell>
          <cell r="C27">
            <v>2.3E-2</v>
          </cell>
          <cell r="D27">
            <v>0.23</v>
          </cell>
          <cell r="E27">
            <v>2.2999999999999998</v>
          </cell>
        </row>
        <row r="28">
          <cell r="A28">
            <v>2.4E-2</v>
          </cell>
          <cell r="B28">
            <v>0.69</v>
          </cell>
          <cell r="C28">
            <v>2.4E-2</v>
          </cell>
          <cell r="D28">
            <v>0.24</v>
          </cell>
          <cell r="E28">
            <v>2.4</v>
          </cell>
        </row>
        <row r="29">
          <cell r="A29">
            <v>2.5000000000000001E-2</v>
          </cell>
          <cell r="B29">
            <v>0.7</v>
          </cell>
          <cell r="C29">
            <v>2.5000000000000001E-2</v>
          </cell>
          <cell r="D29">
            <v>0.25</v>
          </cell>
          <cell r="E29">
            <v>2.5</v>
          </cell>
        </row>
        <row r="30">
          <cell r="A30">
            <v>2.5999999999999999E-2</v>
          </cell>
          <cell r="B30">
            <v>0.71</v>
          </cell>
          <cell r="C30">
            <v>2.5999999999999999E-2</v>
          </cell>
          <cell r="D30">
            <v>0.26</v>
          </cell>
          <cell r="E30">
            <v>2.6</v>
          </cell>
        </row>
        <row r="31">
          <cell r="A31">
            <v>2.7E-2</v>
          </cell>
          <cell r="B31">
            <v>0.72</v>
          </cell>
          <cell r="C31">
            <v>2.7E-2</v>
          </cell>
          <cell r="D31">
            <v>0.27</v>
          </cell>
          <cell r="E31">
            <v>2.7</v>
          </cell>
        </row>
        <row r="32">
          <cell r="A32">
            <v>2.8000000000000001E-2</v>
          </cell>
          <cell r="B32">
            <v>0.73</v>
          </cell>
          <cell r="C32">
            <v>2.8000000000000001E-2</v>
          </cell>
          <cell r="D32">
            <v>0.28000000000000003</v>
          </cell>
          <cell r="E32">
            <v>2.8</v>
          </cell>
        </row>
        <row r="33">
          <cell r="A33">
            <v>2.9000000000000001E-2</v>
          </cell>
          <cell r="B33">
            <v>0.74</v>
          </cell>
          <cell r="C33">
            <v>2.9000000000000001E-2</v>
          </cell>
          <cell r="D33">
            <v>0.28999999999999998</v>
          </cell>
          <cell r="E33">
            <v>2.9</v>
          </cell>
        </row>
        <row r="34">
          <cell r="A34">
            <v>0.03</v>
          </cell>
          <cell r="B34">
            <v>0.75</v>
          </cell>
          <cell r="C34">
            <v>0.03</v>
          </cell>
          <cell r="D34">
            <v>0.3</v>
          </cell>
          <cell r="E34">
            <v>3</v>
          </cell>
        </row>
        <row r="35">
          <cell r="A35">
            <v>3.1E-2</v>
          </cell>
          <cell r="B35">
            <v>0.76</v>
          </cell>
          <cell r="C35">
            <v>3.1E-2</v>
          </cell>
          <cell r="D35">
            <v>0.31</v>
          </cell>
          <cell r="E35">
            <v>3.1</v>
          </cell>
        </row>
        <row r="36">
          <cell r="A36">
            <v>3.2000000000000001E-2</v>
          </cell>
          <cell r="B36">
            <v>0.77</v>
          </cell>
          <cell r="C36">
            <v>3.2000000000000001E-2</v>
          </cell>
          <cell r="D36">
            <v>0.32</v>
          </cell>
          <cell r="E36">
            <v>3.2</v>
          </cell>
        </row>
        <row r="37">
          <cell r="A37">
            <v>3.3000000000000002E-2</v>
          </cell>
          <cell r="B37">
            <v>0.78</v>
          </cell>
          <cell r="C37">
            <v>3.3000000000000002E-2</v>
          </cell>
          <cell r="D37">
            <v>0.33</v>
          </cell>
          <cell r="E37">
            <v>3.3</v>
          </cell>
        </row>
        <row r="38">
          <cell r="A38">
            <v>3.4000000000000002E-2</v>
          </cell>
          <cell r="B38">
            <v>0.79</v>
          </cell>
          <cell r="C38">
            <v>3.4000000000000002E-2</v>
          </cell>
          <cell r="D38">
            <v>0.34</v>
          </cell>
          <cell r="E38">
            <v>3.4</v>
          </cell>
        </row>
        <row r="39">
          <cell r="A39">
            <v>3.5000000000000003E-2</v>
          </cell>
          <cell r="B39">
            <v>0.8</v>
          </cell>
          <cell r="C39">
            <v>3.5000000000000003E-2</v>
          </cell>
          <cell r="D39">
            <v>0.35</v>
          </cell>
          <cell r="E39">
            <v>3.5</v>
          </cell>
        </row>
        <row r="40">
          <cell r="A40">
            <v>3.5999999999999997E-2</v>
          </cell>
          <cell r="B40">
            <v>0.81</v>
          </cell>
          <cell r="C40">
            <v>3.5999999999999997E-2</v>
          </cell>
          <cell r="D40">
            <v>0.36</v>
          </cell>
          <cell r="E40">
            <v>3.6</v>
          </cell>
        </row>
        <row r="41">
          <cell r="A41">
            <v>3.6999999999999998E-2</v>
          </cell>
          <cell r="B41">
            <v>0.82</v>
          </cell>
          <cell r="C41">
            <v>3.6999999999999998E-2</v>
          </cell>
          <cell r="D41">
            <v>0.37</v>
          </cell>
          <cell r="E41">
            <v>3.7</v>
          </cell>
        </row>
        <row r="42">
          <cell r="A42">
            <v>3.7999999999999999E-2</v>
          </cell>
          <cell r="B42">
            <v>0.83</v>
          </cell>
          <cell r="C42">
            <v>3.7999999999999999E-2</v>
          </cell>
          <cell r="D42">
            <v>0.38</v>
          </cell>
          <cell r="E42">
            <v>3.8</v>
          </cell>
        </row>
        <row r="43">
          <cell r="A43">
            <v>3.9E-2</v>
          </cell>
          <cell r="B43">
            <v>0.84</v>
          </cell>
          <cell r="C43">
            <v>3.9E-2</v>
          </cell>
          <cell r="D43">
            <v>0.39</v>
          </cell>
          <cell r="E43">
            <v>3.9</v>
          </cell>
        </row>
        <row r="44">
          <cell r="A44">
            <v>0.04</v>
          </cell>
          <cell r="B44">
            <v>0.85</v>
          </cell>
          <cell r="C44">
            <v>0.04</v>
          </cell>
          <cell r="D44">
            <v>0.4</v>
          </cell>
          <cell r="E44">
            <v>4</v>
          </cell>
        </row>
        <row r="45">
          <cell r="A45">
            <v>4.1000000000000002E-2</v>
          </cell>
          <cell r="B45">
            <v>0.86</v>
          </cell>
          <cell r="C45">
            <v>4.1000000000000002E-2</v>
          </cell>
          <cell r="D45">
            <v>0.41</v>
          </cell>
          <cell r="E45">
            <v>4.0999999999999996</v>
          </cell>
        </row>
        <row r="46">
          <cell r="A46">
            <v>4.2000000000000003E-2</v>
          </cell>
          <cell r="B46">
            <v>0.87</v>
          </cell>
          <cell r="C46">
            <v>4.2000000000000003E-2</v>
          </cell>
          <cell r="D46">
            <v>0.42</v>
          </cell>
          <cell r="E46">
            <v>4.2</v>
          </cell>
        </row>
        <row r="47">
          <cell r="A47">
            <v>4.2999999999999997E-2</v>
          </cell>
          <cell r="B47">
            <v>0.88</v>
          </cell>
          <cell r="C47">
            <v>4.2999999999999997E-2</v>
          </cell>
          <cell r="D47">
            <v>0.43</v>
          </cell>
          <cell r="E47">
            <v>4.3</v>
          </cell>
        </row>
        <row r="48">
          <cell r="A48">
            <v>4.3999999999999997E-2</v>
          </cell>
          <cell r="B48">
            <v>0.89</v>
          </cell>
          <cell r="C48">
            <v>4.3999999999999997E-2</v>
          </cell>
          <cell r="D48">
            <v>0.44</v>
          </cell>
          <cell r="E48">
            <v>4.4000000000000004</v>
          </cell>
        </row>
        <row r="49">
          <cell r="A49">
            <v>4.4999999999999998E-2</v>
          </cell>
          <cell r="B49">
            <v>0.9</v>
          </cell>
          <cell r="C49">
            <v>4.4999999999999998E-2</v>
          </cell>
          <cell r="D49">
            <v>0.45</v>
          </cell>
          <cell r="E49">
            <v>4.5</v>
          </cell>
        </row>
        <row r="50">
          <cell r="A50">
            <v>4.5999999999999999E-2</v>
          </cell>
          <cell r="B50">
            <v>0.91</v>
          </cell>
          <cell r="C50">
            <v>4.5999999999999999E-2</v>
          </cell>
          <cell r="D50">
            <v>0.46</v>
          </cell>
          <cell r="E50">
            <v>4.5999999999999996</v>
          </cell>
        </row>
        <row r="51">
          <cell r="A51">
            <v>4.7E-2</v>
          </cell>
          <cell r="B51">
            <v>0.92</v>
          </cell>
          <cell r="C51">
            <v>4.7E-2</v>
          </cell>
          <cell r="D51">
            <v>0.47</v>
          </cell>
          <cell r="E51">
            <v>4.7</v>
          </cell>
        </row>
        <row r="52">
          <cell r="A52">
            <v>4.8000000000000001E-2</v>
          </cell>
          <cell r="B52">
            <v>0.93</v>
          </cell>
          <cell r="C52">
            <v>4.8000000000000001E-2</v>
          </cell>
          <cell r="D52">
            <v>0.48</v>
          </cell>
          <cell r="E52">
            <v>4.8</v>
          </cell>
        </row>
        <row r="53">
          <cell r="A53">
            <v>4.9000000000000002E-2</v>
          </cell>
          <cell r="B53">
            <v>0.94</v>
          </cell>
          <cell r="C53">
            <v>4.9000000000000002E-2</v>
          </cell>
          <cell r="D53">
            <v>0.49</v>
          </cell>
          <cell r="E53">
            <v>4.9000000000000004</v>
          </cell>
        </row>
        <row r="54">
          <cell r="A54">
            <v>0.05</v>
          </cell>
          <cell r="B54">
            <v>0.95</v>
          </cell>
          <cell r="C54">
            <v>0.05</v>
          </cell>
          <cell r="D54">
            <v>0.5</v>
          </cell>
          <cell r="E54">
            <v>5</v>
          </cell>
        </row>
        <row r="55">
          <cell r="A55">
            <v>5.0999999999999997E-2</v>
          </cell>
          <cell r="B55">
            <v>0.96</v>
          </cell>
          <cell r="C55">
            <v>5.0999999999999997E-2</v>
          </cell>
          <cell r="D55">
            <v>0.51</v>
          </cell>
          <cell r="E55">
            <v>5.0999999999999996</v>
          </cell>
        </row>
        <row r="56">
          <cell r="A56">
            <v>5.1999999999999998E-2</v>
          </cell>
          <cell r="B56">
            <v>0.97</v>
          </cell>
          <cell r="C56">
            <v>5.1999999999999998E-2</v>
          </cell>
          <cell r="D56">
            <v>0.52</v>
          </cell>
          <cell r="E56">
            <v>5.2</v>
          </cell>
        </row>
        <row r="57">
          <cell r="A57">
            <v>5.2999999999999999E-2</v>
          </cell>
          <cell r="B57">
            <v>0.98</v>
          </cell>
          <cell r="C57">
            <v>5.2999999999999999E-2</v>
          </cell>
          <cell r="D57">
            <v>0.53</v>
          </cell>
          <cell r="E57">
            <v>5.3</v>
          </cell>
        </row>
        <row r="58">
          <cell r="A58">
            <v>5.3999999999999999E-2</v>
          </cell>
          <cell r="B58">
            <v>0.99</v>
          </cell>
          <cell r="C58">
            <v>5.3999999999999999E-2</v>
          </cell>
          <cell r="D58">
            <v>0.54</v>
          </cell>
          <cell r="E58">
            <v>5.4</v>
          </cell>
        </row>
        <row r="59">
          <cell r="A59">
            <v>5.5E-2</v>
          </cell>
          <cell r="B59">
            <v>1</v>
          </cell>
          <cell r="C59">
            <v>5.5E-2</v>
          </cell>
          <cell r="D59">
            <v>0.55000000000000004</v>
          </cell>
          <cell r="E59">
            <v>5.5</v>
          </cell>
        </row>
        <row r="60">
          <cell r="A60">
            <v>5.6000000000000001E-2</v>
          </cell>
          <cell r="B60">
            <v>1.01</v>
          </cell>
          <cell r="C60">
            <v>5.6000000000000001E-2</v>
          </cell>
          <cell r="D60">
            <v>0.56000000000000005</v>
          </cell>
          <cell r="E60">
            <v>5.6</v>
          </cell>
        </row>
        <row r="61">
          <cell r="A61">
            <v>5.7000000000000002E-2</v>
          </cell>
          <cell r="B61">
            <v>1.02</v>
          </cell>
          <cell r="C61">
            <v>5.7000000000000002E-2</v>
          </cell>
          <cell r="D61">
            <v>0.56999999999999995</v>
          </cell>
          <cell r="E61">
            <v>5.7</v>
          </cell>
        </row>
        <row r="62">
          <cell r="A62">
            <v>5.8000000000000003E-2</v>
          </cell>
          <cell r="B62">
            <v>1.03</v>
          </cell>
          <cell r="C62">
            <v>5.8000000000000003E-2</v>
          </cell>
          <cell r="D62">
            <v>0.57999999999999996</v>
          </cell>
          <cell r="E62">
            <v>5.8</v>
          </cell>
        </row>
        <row r="63">
          <cell r="A63">
            <v>5.8999999999999997E-2</v>
          </cell>
          <cell r="B63">
            <v>1.04</v>
          </cell>
          <cell r="C63">
            <v>5.8999999999999997E-2</v>
          </cell>
          <cell r="D63">
            <v>0.59</v>
          </cell>
          <cell r="E63">
            <v>5.9</v>
          </cell>
        </row>
        <row r="64">
          <cell r="A64">
            <v>0.06</v>
          </cell>
          <cell r="B64">
            <v>1.05</v>
          </cell>
          <cell r="C64">
            <v>0.06</v>
          </cell>
          <cell r="D64">
            <v>0.6</v>
          </cell>
          <cell r="E64">
            <v>6</v>
          </cell>
        </row>
        <row r="65">
          <cell r="A65">
            <v>6.0999999999999999E-2</v>
          </cell>
          <cell r="B65">
            <v>1.06</v>
          </cell>
          <cell r="C65">
            <v>6.0999999999999999E-2</v>
          </cell>
          <cell r="D65">
            <v>0.61</v>
          </cell>
          <cell r="E65">
            <v>6.1</v>
          </cell>
        </row>
        <row r="66">
          <cell r="A66">
            <v>6.2E-2</v>
          </cell>
          <cell r="B66">
            <v>1.07</v>
          </cell>
          <cell r="C66">
            <v>6.2E-2</v>
          </cell>
          <cell r="D66">
            <v>0.62</v>
          </cell>
          <cell r="E66">
            <v>6.2</v>
          </cell>
        </row>
        <row r="67">
          <cell r="A67">
            <v>6.3E-2</v>
          </cell>
          <cell r="B67">
            <v>1.08</v>
          </cell>
          <cell r="C67">
            <v>6.3E-2</v>
          </cell>
          <cell r="D67">
            <v>0.63</v>
          </cell>
          <cell r="E67">
            <v>6.3</v>
          </cell>
        </row>
        <row r="68">
          <cell r="A68">
            <v>6.4000000000000001E-2</v>
          </cell>
          <cell r="B68">
            <v>1.0900000000000001</v>
          </cell>
          <cell r="C68">
            <v>6.4000000000000001E-2</v>
          </cell>
          <cell r="D68">
            <v>0.64</v>
          </cell>
          <cell r="E68">
            <v>6.4</v>
          </cell>
        </row>
        <row r="69">
          <cell r="A69">
            <v>6.5000000000000002E-2</v>
          </cell>
          <cell r="B69">
            <v>1.1000000000000001</v>
          </cell>
          <cell r="C69">
            <v>6.5000000000000002E-2</v>
          </cell>
          <cell r="D69">
            <v>0.65</v>
          </cell>
          <cell r="E69">
            <v>6.5</v>
          </cell>
        </row>
        <row r="70">
          <cell r="A70">
            <v>6.6000000000000003E-2</v>
          </cell>
          <cell r="B70">
            <v>1.1100000000000001</v>
          </cell>
          <cell r="C70">
            <v>6.6000000000000003E-2</v>
          </cell>
          <cell r="D70">
            <v>0.66</v>
          </cell>
          <cell r="E70">
            <v>6.6</v>
          </cell>
        </row>
        <row r="71">
          <cell r="A71">
            <v>6.7000000000000004E-2</v>
          </cell>
          <cell r="B71">
            <v>1.1200000000000001</v>
          </cell>
          <cell r="C71">
            <v>6.7000000000000004E-2</v>
          </cell>
          <cell r="D71">
            <v>0.67</v>
          </cell>
          <cell r="E71">
            <v>6.7</v>
          </cell>
        </row>
        <row r="72">
          <cell r="A72">
            <v>6.8000000000000005E-2</v>
          </cell>
          <cell r="B72">
            <v>1.1299999999999999</v>
          </cell>
          <cell r="C72">
            <v>6.8000000000000005E-2</v>
          </cell>
          <cell r="D72">
            <v>0.68</v>
          </cell>
          <cell r="E72">
            <v>6.8</v>
          </cell>
        </row>
        <row r="73">
          <cell r="A73">
            <v>6.9000000000000006E-2</v>
          </cell>
          <cell r="B73">
            <v>1.1399999999999999</v>
          </cell>
          <cell r="C73">
            <v>6.9000000000000006E-2</v>
          </cell>
          <cell r="D73">
            <v>0.69</v>
          </cell>
          <cell r="E73">
            <v>6.9</v>
          </cell>
        </row>
        <row r="74">
          <cell r="A74">
            <v>7.0000000000000007E-2</v>
          </cell>
          <cell r="B74">
            <v>1.1499999999999999</v>
          </cell>
          <cell r="C74">
            <v>7.0000000000000007E-2</v>
          </cell>
          <cell r="D74">
            <v>0.7</v>
          </cell>
          <cell r="E74">
            <v>7</v>
          </cell>
        </row>
        <row r="75">
          <cell r="A75">
            <v>7.0999999999999994E-2</v>
          </cell>
          <cell r="B75">
            <v>1.1599999999999999</v>
          </cell>
          <cell r="D75">
            <v>0.71</v>
          </cell>
          <cell r="E75">
            <v>7.1</v>
          </cell>
        </row>
        <row r="76">
          <cell r="A76">
            <v>7.1999999999999995E-2</v>
          </cell>
          <cell r="B76">
            <v>1.17</v>
          </cell>
          <cell r="D76">
            <v>0.72</v>
          </cell>
          <cell r="E76">
            <v>7.2</v>
          </cell>
        </row>
        <row r="77">
          <cell r="A77">
            <v>7.2999999999999995E-2</v>
          </cell>
          <cell r="B77">
            <v>1.18</v>
          </cell>
          <cell r="D77">
            <v>0.73</v>
          </cell>
          <cell r="E77">
            <v>7.3</v>
          </cell>
        </row>
        <row r="78">
          <cell r="A78">
            <v>7.3999999999999996E-2</v>
          </cell>
          <cell r="B78">
            <v>1.19</v>
          </cell>
          <cell r="D78">
            <v>0.74</v>
          </cell>
          <cell r="E78">
            <v>7.4</v>
          </cell>
        </row>
        <row r="79">
          <cell r="A79">
            <v>7.4999999999999997E-2</v>
          </cell>
          <cell r="B79">
            <v>1.2</v>
          </cell>
          <cell r="D79">
            <v>0.75</v>
          </cell>
          <cell r="E79">
            <v>7.5</v>
          </cell>
        </row>
        <row r="80">
          <cell r="A80">
            <v>7.5999999999999998E-2</v>
          </cell>
          <cell r="B80">
            <v>1.21</v>
          </cell>
          <cell r="D80">
            <v>0.76</v>
          </cell>
          <cell r="E80">
            <v>7.6</v>
          </cell>
        </row>
        <row r="81">
          <cell r="A81">
            <v>7.6999999999999999E-2</v>
          </cell>
          <cell r="B81">
            <v>1.22</v>
          </cell>
          <cell r="D81">
            <v>0.77</v>
          </cell>
          <cell r="E81">
            <v>7.7</v>
          </cell>
        </row>
        <row r="82">
          <cell r="A82">
            <v>7.8E-2</v>
          </cell>
          <cell r="B82">
            <v>1.23</v>
          </cell>
          <cell r="D82">
            <v>0.78</v>
          </cell>
          <cell r="E82">
            <v>7.8</v>
          </cell>
        </row>
        <row r="83">
          <cell r="A83">
            <v>7.9000000000000001E-2</v>
          </cell>
          <cell r="B83">
            <v>1.24</v>
          </cell>
          <cell r="D83">
            <v>0.79</v>
          </cell>
          <cell r="E83">
            <v>7.9</v>
          </cell>
        </row>
        <row r="84">
          <cell r="A84">
            <v>0.08</v>
          </cell>
          <cell r="B84">
            <v>1.25</v>
          </cell>
          <cell r="D84">
            <v>0.8</v>
          </cell>
          <cell r="E84">
            <v>8</v>
          </cell>
        </row>
        <row r="85">
          <cell r="A85">
            <v>8.1000000000000003E-2</v>
          </cell>
          <cell r="D85">
            <v>0.81</v>
          </cell>
          <cell r="E85">
            <v>8.1</v>
          </cell>
        </row>
        <row r="86">
          <cell r="A86">
            <v>8.2000000000000003E-2</v>
          </cell>
          <cell r="D86">
            <v>0.82</v>
          </cell>
          <cell r="E86">
            <v>8.1999999999999993</v>
          </cell>
        </row>
        <row r="87">
          <cell r="A87">
            <v>8.3000000000000004E-2</v>
          </cell>
          <cell r="D87">
            <v>0.83</v>
          </cell>
          <cell r="E87">
            <v>8.3000000000000007</v>
          </cell>
        </row>
        <row r="88">
          <cell r="A88">
            <v>8.4000000000000005E-2</v>
          </cell>
          <cell r="D88">
            <v>0.84</v>
          </cell>
          <cell r="E88">
            <v>8.4</v>
          </cell>
        </row>
        <row r="89">
          <cell r="A89">
            <v>8.5000000000000006E-2</v>
          </cell>
          <cell r="D89">
            <v>0.85</v>
          </cell>
          <cell r="E89">
            <v>8.5</v>
          </cell>
        </row>
        <row r="90">
          <cell r="A90">
            <v>8.5999999999999993E-2</v>
          </cell>
          <cell r="D90">
            <v>0.86</v>
          </cell>
          <cell r="E90">
            <v>8.6</v>
          </cell>
        </row>
        <row r="91">
          <cell r="A91">
            <v>8.6999999999999994E-2</v>
          </cell>
          <cell r="D91">
            <v>0.87</v>
          </cell>
          <cell r="E91">
            <v>8.6999999999999993</v>
          </cell>
        </row>
        <row r="92">
          <cell r="A92">
            <v>8.7999999999999995E-2</v>
          </cell>
          <cell r="D92">
            <v>0.88</v>
          </cell>
          <cell r="E92">
            <v>8.8000000000000007</v>
          </cell>
        </row>
        <row r="93">
          <cell r="A93">
            <v>8.8999999999999996E-2</v>
          </cell>
          <cell r="D93">
            <v>0.89</v>
          </cell>
          <cell r="E93">
            <v>8.9</v>
          </cell>
        </row>
        <row r="94">
          <cell r="A94">
            <v>0.09</v>
          </cell>
          <cell r="D94">
            <v>0.9</v>
          </cell>
          <cell r="E94">
            <v>9</v>
          </cell>
        </row>
        <row r="95">
          <cell r="A95">
            <v>9.0999999999999998E-2</v>
          </cell>
          <cell r="D95">
            <v>0.91</v>
          </cell>
          <cell r="E95">
            <v>9.1</v>
          </cell>
        </row>
        <row r="96">
          <cell r="A96">
            <v>9.1999999999999998E-2</v>
          </cell>
          <cell r="D96">
            <v>0.92</v>
          </cell>
          <cell r="E96">
            <v>9.1999999999999993</v>
          </cell>
        </row>
        <row r="97">
          <cell r="A97">
            <v>9.2999999999999999E-2</v>
          </cell>
          <cell r="D97">
            <v>0.93</v>
          </cell>
          <cell r="E97">
            <v>9.3000000000000007</v>
          </cell>
        </row>
        <row r="98">
          <cell r="A98">
            <v>9.4E-2</v>
          </cell>
          <cell r="D98">
            <v>0.94</v>
          </cell>
          <cell r="E98">
            <v>9.4</v>
          </cell>
        </row>
        <row r="99">
          <cell r="A99">
            <v>9.5000000000000001E-2</v>
          </cell>
          <cell r="D99">
            <v>0.95</v>
          </cell>
          <cell r="E99">
            <v>9.5</v>
          </cell>
        </row>
        <row r="100">
          <cell r="A100">
            <v>9.6000000000000002E-2</v>
          </cell>
          <cell r="D100">
            <v>0.96</v>
          </cell>
          <cell r="E100">
            <v>9.6</v>
          </cell>
        </row>
        <row r="101">
          <cell r="A101">
            <v>9.7000000000000003E-2</v>
          </cell>
          <cell r="D101">
            <v>0.97</v>
          </cell>
          <cell r="E101">
            <v>9.6999999999999993</v>
          </cell>
        </row>
        <row r="102">
          <cell r="A102">
            <v>9.8000000000000004E-2</v>
          </cell>
          <cell r="D102">
            <v>0.98</v>
          </cell>
          <cell r="E102">
            <v>9.8000000000000007</v>
          </cell>
        </row>
        <row r="103">
          <cell r="A103">
            <v>9.9000000000000005E-2</v>
          </cell>
          <cell r="D103">
            <v>0.99</v>
          </cell>
          <cell r="E103">
            <v>9.9</v>
          </cell>
        </row>
        <row r="104">
          <cell r="A104">
            <v>0.1</v>
          </cell>
          <cell r="D104">
            <v>1</v>
          </cell>
          <cell r="E104">
            <v>10</v>
          </cell>
        </row>
        <row r="105">
          <cell r="A105">
            <v>0.10100000000000001</v>
          </cell>
          <cell r="E105">
            <v>10.1</v>
          </cell>
        </row>
        <row r="106">
          <cell r="A106">
            <v>0.10199999999999999</v>
          </cell>
          <cell r="E106">
            <v>10.199999999999999</v>
          </cell>
        </row>
        <row r="107">
          <cell r="A107">
            <v>0.10299999999999999</v>
          </cell>
          <cell r="E107">
            <v>10.3</v>
          </cell>
        </row>
        <row r="108">
          <cell r="A108">
            <v>0.104</v>
          </cell>
          <cell r="E108">
            <v>10.4</v>
          </cell>
        </row>
        <row r="109">
          <cell r="A109">
            <v>0.105</v>
          </cell>
          <cell r="E109">
            <v>10.5</v>
          </cell>
        </row>
        <row r="110">
          <cell r="A110">
            <v>0.106</v>
          </cell>
          <cell r="E110">
            <v>10.6</v>
          </cell>
        </row>
        <row r="111">
          <cell r="A111">
            <v>0.107</v>
          </cell>
          <cell r="E111">
            <v>10.7</v>
          </cell>
        </row>
        <row r="112">
          <cell r="A112">
            <v>0.108</v>
          </cell>
          <cell r="E112">
            <v>10.8</v>
          </cell>
        </row>
        <row r="113">
          <cell r="A113">
            <v>0.109</v>
          </cell>
          <cell r="E113">
            <v>10.9</v>
          </cell>
        </row>
        <row r="114">
          <cell r="A114">
            <v>0.11</v>
          </cell>
          <cell r="E114">
            <v>11</v>
          </cell>
        </row>
        <row r="115">
          <cell r="A115">
            <v>0.111</v>
          </cell>
          <cell r="E115">
            <v>11.1</v>
          </cell>
        </row>
        <row r="116">
          <cell r="A116">
            <v>0.112</v>
          </cell>
          <cell r="E116">
            <v>11.2</v>
          </cell>
        </row>
        <row r="117">
          <cell r="A117">
            <v>0.113</v>
          </cell>
          <cell r="E117">
            <v>11.3</v>
          </cell>
        </row>
        <row r="118">
          <cell r="A118">
            <v>0.114</v>
          </cell>
          <cell r="E118">
            <v>11.4</v>
          </cell>
        </row>
        <row r="119">
          <cell r="A119">
            <v>0.115</v>
          </cell>
          <cell r="E119">
            <v>11.5</v>
          </cell>
        </row>
        <row r="120">
          <cell r="A120">
            <v>0.11600000000000001</v>
          </cell>
          <cell r="E120">
            <v>11.6</v>
          </cell>
        </row>
        <row r="121">
          <cell r="A121">
            <v>0.11700000000000001</v>
          </cell>
          <cell r="E121">
            <v>11.7</v>
          </cell>
        </row>
        <row r="122">
          <cell r="A122">
            <v>0.11799999999999999</v>
          </cell>
          <cell r="E122">
            <v>11.8</v>
          </cell>
        </row>
        <row r="123">
          <cell r="A123">
            <v>0.11899999999999999</v>
          </cell>
          <cell r="E123">
            <v>11.9</v>
          </cell>
        </row>
        <row r="124">
          <cell r="A124">
            <v>0.12</v>
          </cell>
          <cell r="E124">
            <v>12</v>
          </cell>
        </row>
        <row r="125">
          <cell r="A125">
            <v>0.121</v>
          </cell>
          <cell r="E125">
            <v>12.1</v>
          </cell>
        </row>
        <row r="126">
          <cell r="A126">
            <v>0.122</v>
          </cell>
          <cell r="E126">
            <v>12.2</v>
          </cell>
        </row>
        <row r="127">
          <cell r="A127">
            <v>0.123</v>
          </cell>
          <cell r="E127">
            <v>12.3</v>
          </cell>
        </row>
        <row r="128">
          <cell r="A128">
            <v>0.124</v>
          </cell>
          <cell r="E128">
            <v>12.4</v>
          </cell>
        </row>
        <row r="129">
          <cell r="A129">
            <v>0.125</v>
          </cell>
          <cell r="E129">
            <v>12.5</v>
          </cell>
        </row>
        <row r="130">
          <cell r="A130">
            <v>0.126</v>
          </cell>
          <cell r="E130">
            <v>12.6</v>
          </cell>
        </row>
        <row r="131">
          <cell r="A131">
            <v>0.127</v>
          </cell>
          <cell r="E131">
            <v>12.7</v>
          </cell>
        </row>
        <row r="132">
          <cell r="A132">
            <v>0.128</v>
          </cell>
          <cell r="E132">
            <v>12.8</v>
          </cell>
        </row>
        <row r="133">
          <cell r="A133">
            <v>0.129</v>
          </cell>
          <cell r="E133">
            <v>12.9</v>
          </cell>
        </row>
        <row r="134">
          <cell r="A134">
            <v>0.13</v>
          </cell>
          <cell r="E134">
            <v>13</v>
          </cell>
        </row>
        <row r="135">
          <cell r="A135">
            <v>0.13100000000000001</v>
          </cell>
          <cell r="E135">
            <v>13.1</v>
          </cell>
        </row>
        <row r="136">
          <cell r="A136">
            <v>0.13200000000000001</v>
          </cell>
          <cell r="E136">
            <v>13.2</v>
          </cell>
        </row>
        <row r="137">
          <cell r="A137">
            <v>0.13300000000000001</v>
          </cell>
          <cell r="E137">
            <v>13.3</v>
          </cell>
        </row>
        <row r="138">
          <cell r="A138">
            <v>0.13400000000000001</v>
          </cell>
          <cell r="E138">
            <v>13.4</v>
          </cell>
        </row>
        <row r="139">
          <cell r="A139">
            <v>0.13500000000000001</v>
          </cell>
          <cell r="E139">
            <v>13.5</v>
          </cell>
        </row>
        <row r="140">
          <cell r="A140">
            <v>0.13600000000000001</v>
          </cell>
          <cell r="E140">
            <v>13.6</v>
          </cell>
        </row>
        <row r="141">
          <cell r="A141">
            <v>0.13700000000000001</v>
          </cell>
          <cell r="E141">
            <v>13.7</v>
          </cell>
        </row>
        <row r="142">
          <cell r="A142">
            <v>0.13800000000000001</v>
          </cell>
          <cell r="E142">
            <v>13.8</v>
          </cell>
        </row>
        <row r="143">
          <cell r="A143">
            <v>0.13900000000000001</v>
          </cell>
          <cell r="E143">
            <v>13.9</v>
          </cell>
        </row>
        <row r="144">
          <cell r="A144">
            <v>0.14000000000000001</v>
          </cell>
          <cell r="E144">
            <v>14</v>
          </cell>
        </row>
        <row r="145">
          <cell r="A145">
            <v>0.14099999999999999</v>
          </cell>
          <cell r="E145">
            <v>14.1</v>
          </cell>
        </row>
        <row r="146">
          <cell r="A146">
            <v>0.14199999999999999</v>
          </cell>
          <cell r="E146">
            <v>14.2</v>
          </cell>
        </row>
        <row r="147">
          <cell r="A147">
            <v>0.14299999999999999</v>
          </cell>
          <cell r="E147">
            <v>14.3</v>
          </cell>
        </row>
        <row r="148">
          <cell r="A148">
            <v>0.14399999999999999</v>
          </cell>
          <cell r="E148">
            <v>14.4</v>
          </cell>
        </row>
        <row r="149">
          <cell r="A149">
            <v>0.14499999999999999</v>
          </cell>
          <cell r="E149">
            <v>14.5</v>
          </cell>
        </row>
        <row r="150">
          <cell r="A150">
            <v>0.14599999999999999</v>
          </cell>
          <cell r="E150">
            <v>14.6</v>
          </cell>
        </row>
        <row r="151">
          <cell r="A151">
            <v>0.14699999999999999</v>
          </cell>
          <cell r="E151">
            <v>14.7</v>
          </cell>
        </row>
        <row r="152">
          <cell r="A152">
            <v>0.14799999999999999</v>
          </cell>
          <cell r="E152">
            <v>14.8</v>
          </cell>
        </row>
        <row r="153">
          <cell r="A153">
            <v>0.14899999999999999</v>
          </cell>
          <cell r="E153">
            <v>14.9</v>
          </cell>
        </row>
        <row r="154">
          <cell r="A154">
            <v>0.15</v>
          </cell>
          <cell r="E154">
            <v>15</v>
          </cell>
        </row>
        <row r="155">
          <cell r="A155">
            <v>0.151</v>
          </cell>
          <cell r="E155">
            <v>15.1</v>
          </cell>
        </row>
        <row r="156">
          <cell r="A156">
            <v>0.152</v>
          </cell>
          <cell r="E156">
            <v>15.2</v>
          </cell>
        </row>
        <row r="157">
          <cell r="A157">
            <v>0.153</v>
          </cell>
          <cell r="E157">
            <v>15.3</v>
          </cell>
        </row>
        <row r="158">
          <cell r="A158">
            <v>0.154</v>
          </cell>
          <cell r="E158">
            <v>15.4</v>
          </cell>
        </row>
        <row r="159">
          <cell r="A159">
            <v>0.155</v>
          </cell>
          <cell r="E159">
            <v>15.5</v>
          </cell>
        </row>
        <row r="160">
          <cell r="A160">
            <v>0.156</v>
          </cell>
          <cell r="E160">
            <v>15.6</v>
          </cell>
        </row>
        <row r="161">
          <cell r="A161">
            <v>0.157</v>
          </cell>
          <cell r="E161">
            <v>15.7</v>
          </cell>
        </row>
        <row r="162">
          <cell r="A162">
            <v>0.158</v>
          </cell>
          <cell r="E162">
            <v>15.8</v>
          </cell>
        </row>
        <row r="163">
          <cell r="A163">
            <v>0.159</v>
          </cell>
          <cell r="E163">
            <v>15.9</v>
          </cell>
        </row>
        <row r="164">
          <cell r="A164">
            <v>0.16</v>
          </cell>
          <cell r="E164">
            <v>16</v>
          </cell>
        </row>
        <row r="165">
          <cell r="A165">
            <v>0.161</v>
          </cell>
          <cell r="E165">
            <v>16.100000000000001</v>
          </cell>
        </row>
        <row r="166">
          <cell r="A166">
            <v>0.16200000000000001</v>
          </cell>
          <cell r="E166">
            <v>16.2</v>
          </cell>
        </row>
        <row r="167">
          <cell r="A167">
            <v>0.16300000000000001</v>
          </cell>
          <cell r="E167">
            <v>16.3</v>
          </cell>
        </row>
        <row r="168">
          <cell r="A168">
            <v>0.16400000000000001</v>
          </cell>
          <cell r="E168">
            <v>16.399999999999999</v>
          </cell>
        </row>
        <row r="169">
          <cell r="A169">
            <v>0.16500000000000001</v>
          </cell>
          <cell r="E169">
            <v>16.5</v>
          </cell>
        </row>
        <row r="170">
          <cell r="A170">
            <v>0.16600000000000001</v>
          </cell>
          <cell r="E170">
            <v>16.600000000000001</v>
          </cell>
        </row>
        <row r="171">
          <cell r="A171">
            <v>0.16700000000000001</v>
          </cell>
          <cell r="E171">
            <v>16.7</v>
          </cell>
        </row>
        <row r="172">
          <cell r="A172">
            <v>0.16800000000000001</v>
          </cell>
          <cell r="E172">
            <v>16.8</v>
          </cell>
        </row>
        <row r="173">
          <cell r="A173">
            <v>0.16900000000000001</v>
          </cell>
          <cell r="E173">
            <v>16.899999999999999</v>
          </cell>
        </row>
        <row r="174">
          <cell r="A174">
            <v>0.17</v>
          </cell>
          <cell r="E174">
            <v>17</v>
          </cell>
        </row>
        <row r="175">
          <cell r="A175">
            <v>0.17100000000000001</v>
          </cell>
          <cell r="E175">
            <v>17.100000000000001</v>
          </cell>
        </row>
        <row r="176">
          <cell r="A176">
            <v>0.17199999999999999</v>
          </cell>
          <cell r="E176">
            <v>17.2</v>
          </cell>
        </row>
        <row r="177">
          <cell r="A177">
            <v>0.17299999999999999</v>
          </cell>
          <cell r="E177">
            <v>17.3</v>
          </cell>
        </row>
        <row r="178">
          <cell r="A178">
            <v>0.17399999999999999</v>
          </cell>
          <cell r="E178">
            <v>17.399999999999999</v>
          </cell>
        </row>
        <row r="179">
          <cell r="A179">
            <v>0.17499999999999999</v>
          </cell>
          <cell r="E179">
            <v>17.5</v>
          </cell>
        </row>
        <row r="180">
          <cell r="A180">
            <v>0.17599999999999999</v>
          </cell>
          <cell r="E180">
            <v>17.600000000000001</v>
          </cell>
        </row>
        <row r="181">
          <cell r="A181">
            <v>0.17699999999999999</v>
          </cell>
          <cell r="E181">
            <v>17.7</v>
          </cell>
        </row>
        <row r="182">
          <cell r="A182">
            <v>0.17799999999999999</v>
          </cell>
          <cell r="E182">
            <v>17.8</v>
          </cell>
        </row>
        <row r="183">
          <cell r="A183">
            <v>0.17899999999999999</v>
          </cell>
          <cell r="E183">
            <v>17.899999999999999</v>
          </cell>
        </row>
        <row r="184">
          <cell r="A184">
            <v>0.18</v>
          </cell>
          <cell r="E184">
            <v>18</v>
          </cell>
        </row>
        <row r="185">
          <cell r="A185">
            <v>0.18099999999999999</v>
          </cell>
          <cell r="E185">
            <v>18.100000000000001</v>
          </cell>
        </row>
        <row r="186">
          <cell r="A186">
            <v>0.182</v>
          </cell>
          <cell r="E186">
            <v>18.2</v>
          </cell>
        </row>
        <row r="187">
          <cell r="A187">
            <v>0.183</v>
          </cell>
          <cell r="E187">
            <v>18.3</v>
          </cell>
        </row>
        <row r="188">
          <cell r="A188">
            <v>0.184</v>
          </cell>
          <cell r="E188">
            <v>18.399999999999999</v>
          </cell>
        </row>
        <row r="189">
          <cell r="A189">
            <v>0.185</v>
          </cell>
          <cell r="E189">
            <v>18.5</v>
          </cell>
        </row>
        <row r="190">
          <cell r="A190">
            <v>0.186</v>
          </cell>
          <cell r="E190">
            <v>18.600000000000001</v>
          </cell>
        </row>
        <row r="191">
          <cell r="A191">
            <v>0.187</v>
          </cell>
          <cell r="E191">
            <v>18.7</v>
          </cell>
        </row>
        <row r="192">
          <cell r="A192">
            <v>0.188</v>
          </cell>
          <cell r="E192">
            <v>18.8</v>
          </cell>
        </row>
        <row r="193">
          <cell r="A193">
            <v>0.189</v>
          </cell>
          <cell r="E193">
            <v>18.899999999999999</v>
          </cell>
        </row>
        <row r="194">
          <cell r="A194">
            <v>0.19</v>
          </cell>
          <cell r="E194">
            <v>19</v>
          </cell>
        </row>
        <row r="195">
          <cell r="A195">
            <v>0.191</v>
          </cell>
          <cell r="E195">
            <v>19.100000000000001</v>
          </cell>
        </row>
        <row r="196">
          <cell r="A196">
            <v>0.192</v>
          </cell>
          <cell r="E196">
            <v>19.2</v>
          </cell>
        </row>
        <row r="197">
          <cell r="A197">
            <v>0.193</v>
          </cell>
          <cell r="E197">
            <v>19.3</v>
          </cell>
        </row>
        <row r="198">
          <cell r="A198">
            <v>0.19400000000000001</v>
          </cell>
          <cell r="E198">
            <v>19.399999999999999</v>
          </cell>
        </row>
        <row r="199">
          <cell r="A199">
            <v>0.19500000000000001</v>
          </cell>
          <cell r="E199">
            <v>19.5</v>
          </cell>
        </row>
        <row r="200">
          <cell r="A200">
            <v>0.19600000000000001</v>
          </cell>
          <cell r="E200">
            <v>19.600000000000001</v>
          </cell>
        </row>
        <row r="201">
          <cell r="A201">
            <v>0.19700000000000001</v>
          </cell>
          <cell r="E201">
            <v>19.7</v>
          </cell>
        </row>
        <row r="202">
          <cell r="A202">
            <v>0.19800000000000001</v>
          </cell>
          <cell r="E202">
            <v>19.8</v>
          </cell>
        </row>
        <row r="203">
          <cell r="A203">
            <v>0.19900000000000001</v>
          </cell>
          <cell r="E203">
            <v>19.899999999999999</v>
          </cell>
        </row>
        <row r="204">
          <cell r="A204">
            <v>0.2</v>
          </cell>
          <cell r="E204">
            <v>20</v>
          </cell>
        </row>
        <row r="205">
          <cell r="A205">
            <v>0.20100000000000001</v>
          </cell>
          <cell r="E205">
            <v>20.100000000000001</v>
          </cell>
        </row>
        <row r="206">
          <cell r="A206">
            <v>0.20200000000000001</v>
          </cell>
          <cell r="E206">
            <v>20.2</v>
          </cell>
        </row>
        <row r="207">
          <cell r="A207">
            <v>0.20300000000000001</v>
          </cell>
          <cell r="E207">
            <v>20.3</v>
          </cell>
        </row>
        <row r="208">
          <cell r="A208">
            <v>0.20399999999999999</v>
          </cell>
          <cell r="E208">
            <v>20.399999999999999</v>
          </cell>
        </row>
        <row r="209">
          <cell r="A209">
            <v>0.20499999999999999</v>
          </cell>
          <cell r="E209">
            <v>20.5</v>
          </cell>
        </row>
        <row r="210">
          <cell r="A210">
            <v>0.20599999999999999</v>
          </cell>
          <cell r="E210">
            <v>20.6</v>
          </cell>
        </row>
        <row r="211">
          <cell r="A211">
            <v>0.20699999999999999</v>
          </cell>
          <cell r="E211">
            <v>20.7</v>
          </cell>
        </row>
        <row r="212">
          <cell r="A212">
            <v>0.20799999999999999</v>
          </cell>
          <cell r="E212">
            <v>20.8</v>
          </cell>
        </row>
        <row r="213">
          <cell r="A213">
            <v>0.20899999999999999</v>
          </cell>
          <cell r="E213">
            <v>20.9</v>
          </cell>
        </row>
        <row r="214">
          <cell r="A214">
            <v>0.21</v>
          </cell>
          <cell r="E214">
            <v>21</v>
          </cell>
        </row>
        <row r="215">
          <cell r="A215">
            <v>0.21099999999999999</v>
          </cell>
          <cell r="E215">
            <v>21.1</v>
          </cell>
        </row>
        <row r="216">
          <cell r="A216">
            <v>0.21199999999999999</v>
          </cell>
          <cell r="E216">
            <v>21.2</v>
          </cell>
        </row>
        <row r="217">
          <cell r="A217">
            <v>0.21299999999999999</v>
          </cell>
          <cell r="E217">
            <v>21.3</v>
          </cell>
        </row>
        <row r="218">
          <cell r="A218">
            <v>0.214</v>
          </cell>
          <cell r="E218">
            <v>21.4</v>
          </cell>
        </row>
        <row r="219">
          <cell r="A219">
            <v>0.215</v>
          </cell>
          <cell r="E219">
            <v>21.5</v>
          </cell>
        </row>
        <row r="220">
          <cell r="A220">
            <v>0.216</v>
          </cell>
          <cell r="E220">
            <v>21.6</v>
          </cell>
        </row>
        <row r="221">
          <cell r="A221">
            <v>0.217</v>
          </cell>
          <cell r="E221">
            <v>21.7</v>
          </cell>
        </row>
        <row r="222">
          <cell r="A222">
            <v>0.218</v>
          </cell>
          <cell r="E222">
            <v>21.8</v>
          </cell>
        </row>
        <row r="223">
          <cell r="A223">
            <v>0.219</v>
          </cell>
          <cell r="E223">
            <v>21.9</v>
          </cell>
        </row>
        <row r="224">
          <cell r="A224">
            <v>0.22</v>
          </cell>
          <cell r="E224">
            <v>22</v>
          </cell>
        </row>
        <row r="225">
          <cell r="A225">
            <v>0.221</v>
          </cell>
          <cell r="E225">
            <v>22.1</v>
          </cell>
        </row>
        <row r="226">
          <cell r="A226">
            <v>0.222</v>
          </cell>
          <cell r="E226">
            <v>22.2</v>
          </cell>
        </row>
        <row r="227">
          <cell r="A227">
            <v>0.223</v>
          </cell>
          <cell r="E227">
            <v>22.3</v>
          </cell>
        </row>
        <row r="228">
          <cell r="A228">
            <v>0.224</v>
          </cell>
          <cell r="E228">
            <v>22.4</v>
          </cell>
        </row>
        <row r="229">
          <cell r="A229">
            <v>0.22500000000000001</v>
          </cell>
          <cell r="E229">
            <v>22.5</v>
          </cell>
        </row>
        <row r="230">
          <cell r="A230">
            <v>0.22600000000000001</v>
          </cell>
          <cell r="E230">
            <v>22.6</v>
          </cell>
        </row>
        <row r="231">
          <cell r="A231">
            <v>0.22700000000000001</v>
          </cell>
          <cell r="E231">
            <v>22.7</v>
          </cell>
        </row>
        <row r="232">
          <cell r="A232">
            <v>0.22800000000000001</v>
          </cell>
          <cell r="E232">
            <v>22.8</v>
          </cell>
        </row>
        <row r="233">
          <cell r="A233">
            <v>0.22900000000000001</v>
          </cell>
          <cell r="E233">
            <v>22.9</v>
          </cell>
        </row>
        <row r="234">
          <cell r="A234">
            <v>0.23</v>
          </cell>
          <cell r="E234">
            <v>23</v>
          </cell>
        </row>
        <row r="235">
          <cell r="A235">
            <v>0.23100000000000001</v>
          </cell>
          <cell r="E235">
            <v>23.1</v>
          </cell>
        </row>
        <row r="236">
          <cell r="A236">
            <v>0.23200000000000001</v>
          </cell>
          <cell r="E236">
            <v>23.2</v>
          </cell>
        </row>
        <row r="237">
          <cell r="A237">
            <v>0.23300000000000001</v>
          </cell>
          <cell r="E237">
            <v>23.3</v>
          </cell>
        </row>
        <row r="238">
          <cell r="A238">
            <v>0.23400000000000001</v>
          </cell>
          <cell r="E238">
            <v>23.4</v>
          </cell>
        </row>
        <row r="239">
          <cell r="A239">
            <v>0.23499999999999999</v>
          </cell>
          <cell r="E239">
            <v>23.5</v>
          </cell>
        </row>
        <row r="240">
          <cell r="A240">
            <v>0.23599999999999999</v>
          </cell>
          <cell r="E240">
            <v>23.6</v>
          </cell>
        </row>
        <row r="241">
          <cell r="A241">
            <v>0.23699999999999999</v>
          </cell>
          <cell r="E241">
            <v>23.7</v>
          </cell>
        </row>
        <row r="242">
          <cell r="A242">
            <v>0.23799999999999999</v>
          </cell>
          <cell r="E242">
            <v>23.8</v>
          </cell>
        </row>
        <row r="243">
          <cell r="A243">
            <v>0.23899999999999999</v>
          </cell>
          <cell r="E243">
            <v>23.9</v>
          </cell>
        </row>
        <row r="244">
          <cell r="A244">
            <v>0.24</v>
          </cell>
          <cell r="E244">
            <v>24</v>
          </cell>
        </row>
        <row r="245">
          <cell r="A245">
            <v>0.24099999999999999</v>
          </cell>
          <cell r="E245">
            <v>24.1</v>
          </cell>
        </row>
        <row r="246">
          <cell r="A246">
            <v>0.24199999999999999</v>
          </cell>
          <cell r="E246">
            <v>24.2</v>
          </cell>
        </row>
        <row r="247">
          <cell r="A247">
            <v>0.24299999999999999</v>
          </cell>
          <cell r="E247">
            <v>24.3</v>
          </cell>
        </row>
        <row r="248">
          <cell r="A248">
            <v>0.24399999999999999</v>
          </cell>
          <cell r="E248">
            <v>24.4</v>
          </cell>
        </row>
        <row r="249">
          <cell r="A249">
            <v>0.245</v>
          </cell>
          <cell r="E249">
            <v>24.5</v>
          </cell>
        </row>
        <row r="250">
          <cell r="A250">
            <v>0.246</v>
          </cell>
          <cell r="E250">
            <v>24.6</v>
          </cell>
        </row>
        <row r="251">
          <cell r="A251">
            <v>0.247</v>
          </cell>
          <cell r="E251">
            <v>24.7</v>
          </cell>
        </row>
        <row r="252">
          <cell r="A252">
            <v>0.248</v>
          </cell>
          <cell r="E252">
            <v>24.8</v>
          </cell>
        </row>
        <row r="253">
          <cell r="A253">
            <v>0.249</v>
          </cell>
          <cell r="E253">
            <v>24.9</v>
          </cell>
        </row>
        <row r="254">
          <cell r="A254">
            <v>0.25</v>
          </cell>
          <cell r="E254">
            <v>25</v>
          </cell>
        </row>
        <row r="255">
          <cell r="A255">
            <v>0.251</v>
          </cell>
          <cell r="E255">
            <v>25.1</v>
          </cell>
        </row>
        <row r="256">
          <cell r="A256">
            <v>0.252</v>
          </cell>
          <cell r="E256">
            <v>25.2</v>
          </cell>
        </row>
        <row r="257">
          <cell r="A257">
            <v>0.253</v>
          </cell>
          <cell r="E257">
            <v>25.3</v>
          </cell>
        </row>
        <row r="258">
          <cell r="A258">
            <v>0.254</v>
          </cell>
          <cell r="E258">
            <v>25.4</v>
          </cell>
        </row>
        <row r="259">
          <cell r="A259">
            <v>0.255</v>
          </cell>
          <cell r="E259">
            <v>25.5</v>
          </cell>
        </row>
        <row r="260">
          <cell r="A260">
            <v>0.25600000000000001</v>
          </cell>
          <cell r="E260">
            <v>25.6</v>
          </cell>
        </row>
        <row r="261">
          <cell r="A261">
            <v>0.25700000000000001</v>
          </cell>
          <cell r="E261">
            <v>25.7</v>
          </cell>
        </row>
        <row r="262">
          <cell r="A262">
            <v>0.25800000000000001</v>
          </cell>
          <cell r="E262">
            <v>25.8</v>
          </cell>
        </row>
        <row r="263">
          <cell r="A263">
            <v>0.25900000000000001</v>
          </cell>
          <cell r="E263">
            <v>25.9</v>
          </cell>
        </row>
        <row r="264">
          <cell r="A264">
            <v>0.26</v>
          </cell>
          <cell r="E264">
            <v>26</v>
          </cell>
        </row>
        <row r="265">
          <cell r="A265">
            <v>0.26100000000000001</v>
          </cell>
          <cell r="E265">
            <v>26.1</v>
          </cell>
        </row>
        <row r="266">
          <cell r="A266">
            <v>0.26200000000000001</v>
          </cell>
          <cell r="E266">
            <v>26.2</v>
          </cell>
        </row>
        <row r="267">
          <cell r="A267">
            <v>0.26300000000000001</v>
          </cell>
          <cell r="E267">
            <v>26.3</v>
          </cell>
        </row>
        <row r="268">
          <cell r="A268">
            <v>0.26400000000000001</v>
          </cell>
          <cell r="E268">
            <v>26.4</v>
          </cell>
        </row>
        <row r="269">
          <cell r="A269">
            <v>0.26500000000000001</v>
          </cell>
          <cell r="E269">
            <v>26.5</v>
          </cell>
        </row>
        <row r="270">
          <cell r="A270">
            <v>0.26600000000000001</v>
          </cell>
          <cell r="E270">
            <v>26.6</v>
          </cell>
        </row>
        <row r="271">
          <cell r="A271">
            <v>0.26700000000000002</v>
          </cell>
          <cell r="E271">
            <v>26.7</v>
          </cell>
        </row>
        <row r="272">
          <cell r="A272">
            <v>0.26800000000000002</v>
          </cell>
          <cell r="E272">
            <v>26.8</v>
          </cell>
        </row>
        <row r="273">
          <cell r="A273">
            <v>0.26900000000000002</v>
          </cell>
          <cell r="E273">
            <v>26.9</v>
          </cell>
        </row>
        <row r="274">
          <cell r="A274">
            <v>0.27</v>
          </cell>
          <cell r="E274">
            <v>27</v>
          </cell>
        </row>
        <row r="275">
          <cell r="A275">
            <v>0.27100000000000002</v>
          </cell>
          <cell r="E275">
            <v>27.1</v>
          </cell>
        </row>
        <row r="276">
          <cell r="A276">
            <v>0.27200000000000002</v>
          </cell>
          <cell r="E276">
            <v>27.2</v>
          </cell>
        </row>
        <row r="277">
          <cell r="A277">
            <v>0.27300000000000002</v>
          </cell>
          <cell r="E277">
            <v>27.3</v>
          </cell>
        </row>
        <row r="278">
          <cell r="A278">
            <v>0.27400000000000002</v>
          </cell>
          <cell r="E278">
            <v>27.4</v>
          </cell>
        </row>
        <row r="279">
          <cell r="A279">
            <v>0.27500000000000002</v>
          </cell>
          <cell r="E279">
            <v>27.5</v>
          </cell>
        </row>
        <row r="280">
          <cell r="A280">
            <v>0.27600000000000002</v>
          </cell>
          <cell r="E280">
            <v>27.6</v>
          </cell>
        </row>
        <row r="281">
          <cell r="A281">
            <v>0.27700000000000002</v>
          </cell>
          <cell r="E281">
            <v>27.7</v>
          </cell>
        </row>
        <row r="282">
          <cell r="A282">
            <v>0.27800000000000002</v>
          </cell>
          <cell r="E282">
            <v>27.8</v>
          </cell>
        </row>
        <row r="283">
          <cell r="A283">
            <v>0.27900000000000003</v>
          </cell>
          <cell r="E283">
            <v>27.9</v>
          </cell>
        </row>
        <row r="284">
          <cell r="A284">
            <v>0.28000000000000003</v>
          </cell>
          <cell r="E284">
            <v>28</v>
          </cell>
        </row>
        <row r="285">
          <cell r="A285">
            <v>0.28100000000000003</v>
          </cell>
          <cell r="E285">
            <v>28.1</v>
          </cell>
        </row>
        <row r="286">
          <cell r="A286">
            <v>0.28199999999999997</v>
          </cell>
          <cell r="E286">
            <v>28.2</v>
          </cell>
        </row>
        <row r="287">
          <cell r="A287">
            <v>0.28299999999999997</v>
          </cell>
          <cell r="E287">
            <v>28.3</v>
          </cell>
        </row>
        <row r="288">
          <cell r="A288">
            <v>0.28399999999999997</v>
          </cell>
          <cell r="E288">
            <v>28.4</v>
          </cell>
        </row>
        <row r="289">
          <cell r="A289">
            <v>0.28499999999999998</v>
          </cell>
          <cell r="E289">
            <v>28.5</v>
          </cell>
        </row>
        <row r="290">
          <cell r="A290">
            <v>0.28599999999999998</v>
          </cell>
          <cell r="E290">
            <v>28.6</v>
          </cell>
        </row>
        <row r="291">
          <cell r="A291">
            <v>0.28699999999999998</v>
          </cell>
          <cell r="E291">
            <v>28.7</v>
          </cell>
        </row>
        <row r="292">
          <cell r="A292">
            <v>0.28799999999999998</v>
          </cell>
          <cell r="E292">
            <v>28.8</v>
          </cell>
        </row>
        <row r="293">
          <cell r="A293">
            <v>0.28899999999999998</v>
          </cell>
          <cell r="E293">
            <v>28.9</v>
          </cell>
        </row>
        <row r="294">
          <cell r="A294">
            <v>0.28999999999999998</v>
          </cell>
          <cell r="E294">
            <v>29</v>
          </cell>
        </row>
        <row r="295">
          <cell r="A295">
            <v>0.29099999999999998</v>
          </cell>
          <cell r="E295">
            <v>29.1</v>
          </cell>
        </row>
        <row r="296">
          <cell r="A296">
            <v>0.29199999999999998</v>
          </cell>
          <cell r="E296">
            <v>29.2</v>
          </cell>
        </row>
        <row r="297">
          <cell r="A297">
            <v>0.29299999999999998</v>
          </cell>
          <cell r="E297">
            <v>29.3</v>
          </cell>
        </row>
        <row r="298">
          <cell r="A298">
            <v>0.29399999999999998</v>
          </cell>
          <cell r="E298">
            <v>29.4</v>
          </cell>
        </row>
        <row r="299">
          <cell r="A299">
            <v>0.29499999999999998</v>
          </cell>
          <cell r="E299">
            <v>29.5</v>
          </cell>
        </row>
        <row r="300">
          <cell r="A300">
            <v>0.29599999999999999</v>
          </cell>
          <cell r="E300">
            <v>29.6</v>
          </cell>
        </row>
        <row r="301">
          <cell r="A301">
            <v>0.29699999999999999</v>
          </cell>
          <cell r="E301">
            <v>29.7</v>
          </cell>
        </row>
        <row r="302">
          <cell r="A302">
            <v>0.29799999999999999</v>
          </cell>
          <cell r="E302">
            <v>29.8</v>
          </cell>
        </row>
        <row r="303">
          <cell r="A303">
            <v>0.29899999999999999</v>
          </cell>
          <cell r="E303">
            <v>29.9</v>
          </cell>
        </row>
        <row r="304">
          <cell r="A304">
            <v>0.3</v>
          </cell>
          <cell r="E304">
            <v>30</v>
          </cell>
        </row>
        <row r="305">
          <cell r="A305">
            <v>0.30099999999999999</v>
          </cell>
          <cell r="E305">
            <v>30.1</v>
          </cell>
        </row>
        <row r="306">
          <cell r="A306">
            <v>0.30199999999999999</v>
          </cell>
          <cell r="E306">
            <v>30.2</v>
          </cell>
        </row>
        <row r="307">
          <cell r="A307">
            <v>0.30299999999999999</v>
          </cell>
          <cell r="E307">
            <v>30.3</v>
          </cell>
        </row>
        <row r="308">
          <cell r="A308">
            <v>0.30399999999999999</v>
          </cell>
          <cell r="E308">
            <v>30.4</v>
          </cell>
        </row>
        <row r="309">
          <cell r="A309">
            <v>0.30499999999999999</v>
          </cell>
          <cell r="E309">
            <v>30.5</v>
          </cell>
        </row>
        <row r="310">
          <cell r="A310">
            <v>0.30599999999999999</v>
          </cell>
          <cell r="E310">
            <v>30.6</v>
          </cell>
        </row>
        <row r="311">
          <cell r="A311">
            <v>0.307</v>
          </cell>
          <cell r="E311">
            <v>30.7</v>
          </cell>
        </row>
        <row r="312">
          <cell r="A312">
            <v>0.308</v>
          </cell>
          <cell r="E312">
            <v>30.8</v>
          </cell>
        </row>
        <row r="313">
          <cell r="A313">
            <v>0.309</v>
          </cell>
          <cell r="E313">
            <v>30.9</v>
          </cell>
        </row>
        <row r="314">
          <cell r="A314">
            <v>0.31</v>
          </cell>
          <cell r="E314">
            <v>31</v>
          </cell>
        </row>
        <row r="315">
          <cell r="A315">
            <v>0.311</v>
          </cell>
          <cell r="E315">
            <v>31.1</v>
          </cell>
        </row>
        <row r="316">
          <cell r="A316">
            <v>0.312</v>
          </cell>
          <cell r="E316">
            <v>31.2</v>
          </cell>
        </row>
        <row r="317">
          <cell r="A317">
            <v>0.313</v>
          </cell>
          <cell r="E317">
            <v>31.3</v>
          </cell>
        </row>
        <row r="318">
          <cell r="A318">
            <v>0.314</v>
          </cell>
          <cell r="E318">
            <v>31.4</v>
          </cell>
        </row>
        <row r="319">
          <cell r="A319">
            <v>0.315</v>
          </cell>
          <cell r="E319">
            <v>31.5</v>
          </cell>
        </row>
        <row r="320">
          <cell r="A320">
            <v>0.316</v>
          </cell>
          <cell r="E320">
            <v>31.6</v>
          </cell>
        </row>
        <row r="321">
          <cell r="A321">
            <v>0.317</v>
          </cell>
          <cell r="E321">
            <v>31.7</v>
          </cell>
        </row>
        <row r="322">
          <cell r="A322">
            <v>0.318</v>
          </cell>
          <cell r="E322">
            <v>31.8</v>
          </cell>
        </row>
        <row r="323">
          <cell r="A323">
            <v>0.31900000000000001</v>
          </cell>
          <cell r="E323">
            <v>31.9</v>
          </cell>
        </row>
        <row r="324">
          <cell r="A324">
            <v>0.32</v>
          </cell>
          <cell r="E324">
            <v>32</v>
          </cell>
        </row>
        <row r="325">
          <cell r="A325">
            <v>0.32100000000000001</v>
          </cell>
          <cell r="E325">
            <v>32.1</v>
          </cell>
        </row>
        <row r="326">
          <cell r="A326">
            <v>0.32200000000000001</v>
          </cell>
          <cell r="E326">
            <v>32.200000000000003</v>
          </cell>
        </row>
        <row r="327">
          <cell r="A327">
            <v>0.32300000000000001</v>
          </cell>
          <cell r="E327">
            <v>32.299999999999997</v>
          </cell>
        </row>
        <row r="328">
          <cell r="A328">
            <v>0.32400000000000001</v>
          </cell>
          <cell r="E328">
            <v>32.4</v>
          </cell>
        </row>
        <row r="329">
          <cell r="A329">
            <v>0.32500000000000001</v>
          </cell>
          <cell r="E329">
            <v>32.5</v>
          </cell>
        </row>
        <row r="330">
          <cell r="A330">
            <v>0.32600000000000001</v>
          </cell>
          <cell r="E330">
            <v>32.6</v>
          </cell>
        </row>
        <row r="331">
          <cell r="A331">
            <v>0.32700000000000001</v>
          </cell>
          <cell r="E331">
            <v>32.700000000000003</v>
          </cell>
        </row>
        <row r="332">
          <cell r="A332">
            <v>0.32800000000000001</v>
          </cell>
          <cell r="E332">
            <v>32.799999999999997</v>
          </cell>
        </row>
        <row r="333">
          <cell r="A333">
            <v>0.32900000000000001</v>
          </cell>
          <cell r="E333">
            <v>32.9</v>
          </cell>
        </row>
        <row r="334">
          <cell r="A334">
            <v>0.33</v>
          </cell>
          <cell r="E334">
            <v>33</v>
          </cell>
        </row>
        <row r="335">
          <cell r="A335">
            <v>0.33100000000000002</v>
          </cell>
          <cell r="E335">
            <v>33.1</v>
          </cell>
        </row>
        <row r="336">
          <cell r="A336">
            <v>0.33200000000000002</v>
          </cell>
          <cell r="E336">
            <v>33.200000000000003</v>
          </cell>
        </row>
        <row r="337">
          <cell r="A337">
            <v>0.33300000000000002</v>
          </cell>
          <cell r="E337">
            <v>33.299999999999997</v>
          </cell>
        </row>
        <row r="338">
          <cell r="A338">
            <v>0.33400000000000002</v>
          </cell>
          <cell r="E338">
            <v>33.4</v>
          </cell>
        </row>
        <row r="339">
          <cell r="A339">
            <v>0.33500000000000002</v>
          </cell>
          <cell r="E339">
            <v>33.5</v>
          </cell>
        </row>
        <row r="340">
          <cell r="A340">
            <v>0.33600000000000002</v>
          </cell>
          <cell r="E340">
            <v>33.6</v>
          </cell>
        </row>
        <row r="341">
          <cell r="A341">
            <v>0.33700000000000002</v>
          </cell>
          <cell r="E341">
            <v>33.700000000000003</v>
          </cell>
        </row>
        <row r="342">
          <cell r="A342">
            <v>0.33800000000000002</v>
          </cell>
          <cell r="E342">
            <v>33.799999999999997</v>
          </cell>
        </row>
        <row r="343">
          <cell r="A343">
            <v>0.33900000000000002</v>
          </cell>
          <cell r="E343">
            <v>33.9</v>
          </cell>
        </row>
        <row r="344">
          <cell r="A344">
            <v>0.34</v>
          </cell>
          <cell r="E344">
            <v>34</v>
          </cell>
        </row>
        <row r="345">
          <cell r="A345">
            <v>0.34100000000000003</v>
          </cell>
          <cell r="E345">
            <v>34.1</v>
          </cell>
        </row>
        <row r="346">
          <cell r="A346">
            <v>0.34200000000000003</v>
          </cell>
          <cell r="E346">
            <v>34.200000000000003</v>
          </cell>
        </row>
        <row r="347">
          <cell r="A347">
            <v>0.34300000000000003</v>
          </cell>
          <cell r="E347">
            <v>34.299999999999997</v>
          </cell>
        </row>
        <row r="348">
          <cell r="A348">
            <v>0.34399999999999997</v>
          </cell>
          <cell r="E348">
            <v>34.4</v>
          </cell>
        </row>
        <row r="349">
          <cell r="A349">
            <v>0.34499999999999997</v>
          </cell>
          <cell r="E349">
            <v>34.5</v>
          </cell>
        </row>
        <row r="350">
          <cell r="A350">
            <v>0.34599999999999997</v>
          </cell>
          <cell r="E350">
            <v>34.6</v>
          </cell>
        </row>
        <row r="351">
          <cell r="A351">
            <v>0.34699999999999998</v>
          </cell>
          <cell r="E351">
            <v>34.700000000000003</v>
          </cell>
        </row>
        <row r="352">
          <cell r="A352">
            <v>0.34799999999999998</v>
          </cell>
          <cell r="E352">
            <v>34.799999999999997</v>
          </cell>
        </row>
        <row r="353">
          <cell r="A353">
            <v>0.34899999999999998</v>
          </cell>
          <cell r="E353">
            <v>34.9</v>
          </cell>
        </row>
        <row r="354">
          <cell r="A354">
            <v>0.35</v>
          </cell>
          <cell r="E354">
            <v>35</v>
          </cell>
        </row>
        <row r="355">
          <cell r="A355">
            <v>0.35099999999999998</v>
          </cell>
          <cell r="E355">
            <v>35.1</v>
          </cell>
        </row>
        <row r="356">
          <cell r="A356">
            <v>0.35199999999999998</v>
          </cell>
          <cell r="E356">
            <v>35.200000000000003</v>
          </cell>
        </row>
        <row r="357">
          <cell r="A357">
            <v>0.35299999999999998</v>
          </cell>
          <cell r="E357">
            <v>35.299999999999997</v>
          </cell>
        </row>
        <row r="358">
          <cell r="A358">
            <v>0.35399999999999998</v>
          </cell>
          <cell r="E358">
            <v>35.4</v>
          </cell>
        </row>
        <row r="359">
          <cell r="A359">
            <v>0.35499999999999998</v>
          </cell>
          <cell r="E359">
            <v>35.5</v>
          </cell>
        </row>
        <row r="360">
          <cell r="A360">
            <v>0.35599999999999998</v>
          </cell>
          <cell r="E360">
            <v>35.6</v>
          </cell>
        </row>
        <row r="361">
          <cell r="A361">
            <v>0.35699999999999998</v>
          </cell>
          <cell r="E361">
            <v>35.700000000000003</v>
          </cell>
        </row>
        <row r="362">
          <cell r="A362">
            <v>0.35799999999999998</v>
          </cell>
          <cell r="E362">
            <v>35.799999999999997</v>
          </cell>
        </row>
        <row r="363">
          <cell r="A363">
            <v>0.35899999999999999</v>
          </cell>
          <cell r="E363">
            <v>35.9</v>
          </cell>
        </row>
        <row r="364">
          <cell r="A364">
            <v>0.36</v>
          </cell>
          <cell r="E364">
            <v>36</v>
          </cell>
        </row>
        <row r="365">
          <cell r="A365">
            <v>0.36099999999999999</v>
          </cell>
          <cell r="E365">
            <v>36.1</v>
          </cell>
        </row>
        <row r="366">
          <cell r="A366">
            <v>0.36199999999999999</v>
          </cell>
          <cell r="E366">
            <v>36.200000000000003</v>
          </cell>
        </row>
        <row r="367">
          <cell r="A367">
            <v>0.36299999999999999</v>
          </cell>
          <cell r="E367">
            <v>36.299999999999997</v>
          </cell>
        </row>
        <row r="368">
          <cell r="A368">
            <v>0.36399999999999999</v>
          </cell>
          <cell r="E368">
            <v>36.4</v>
          </cell>
        </row>
        <row r="369">
          <cell r="A369">
            <v>0.36499999999999999</v>
          </cell>
          <cell r="E369">
            <v>36.5</v>
          </cell>
        </row>
        <row r="370">
          <cell r="A370">
            <v>0.36599999999999999</v>
          </cell>
          <cell r="E370">
            <v>36.6</v>
          </cell>
        </row>
        <row r="371">
          <cell r="A371">
            <v>0.36699999999999999</v>
          </cell>
          <cell r="E371">
            <v>36.700000000000003</v>
          </cell>
        </row>
        <row r="372">
          <cell r="A372">
            <v>0.36799999999999999</v>
          </cell>
          <cell r="E372">
            <v>36.799999999999997</v>
          </cell>
        </row>
        <row r="373">
          <cell r="A373">
            <v>0.36899999999999999</v>
          </cell>
          <cell r="E373">
            <v>36.9</v>
          </cell>
        </row>
        <row r="374">
          <cell r="A374">
            <v>0.37</v>
          </cell>
          <cell r="E374">
            <v>37</v>
          </cell>
        </row>
        <row r="375">
          <cell r="A375">
            <v>0.371</v>
          </cell>
          <cell r="E375">
            <v>37.1</v>
          </cell>
        </row>
        <row r="376">
          <cell r="A376">
            <v>0.372</v>
          </cell>
          <cell r="E376">
            <v>37.200000000000003</v>
          </cell>
        </row>
        <row r="377">
          <cell r="A377">
            <v>0.373</v>
          </cell>
          <cell r="E377">
            <v>37.299999999999997</v>
          </cell>
        </row>
        <row r="378">
          <cell r="A378">
            <v>0.374</v>
          </cell>
          <cell r="E378">
            <v>37.4</v>
          </cell>
        </row>
        <row r="379">
          <cell r="A379">
            <v>0.375</v>
          </cell>
          <cell r="E379">
            <v>37.5</v>
          </cell>
        </row>
        <row r="380">
          <cell r="A380">
            <v>0.376</v>
          </cell>
          <cell r="E380">
            <v>37.6</v>
          </cell>
        </row>
        <row r="381">
          <cell r="A381">
            <v>0.377</v>
          </cell>
          <cell r="E381">
            <v>37.700000000000003</v>
          </cell>
        </row>
        <row r="382">
          <cell r="A382">
            <v>0.378</v>
          </cell>
          <cell r="E382">
            <v>37.799999999999997</v>
          </cell>
        </row>
        <row r="383">
          <cell r="A383">
            <v>0.379</v>
          </cell>
          <cell r="E383">
            <v>37.9</v>
          </cell>
        </row>
        <row r="384">
          <cell r="A384">
            <v>0.38</v>
          </cell>
          <cell r="E384">
            <v>38</v>
          </cell>
        </row>
        <row r="385">
          <cell r="A385">
            <v>0.38100000000000001</v>
          </cell>
          <cell r="E385">
            <v>38.1</v>
          </cell>
        </row>
        <row r="386">
          <cell r="A386">
            <v>0.38200000000000001</v>
          </cell>
          <cell r="E386">
            <v>38.200000000000003</v>
          </cell>
        </row>
        <row r="387">
          <cell r="A387">
            <v>0.38300000000000001</v>
          </cell>
          <cell r="E387">
            <v>38.299999999999997</v>
          </cell>
        </row>
        <row r="388">
          <cell r="A388">
            <v>0.38400000000000001</v>
          </cell>
          <cell r="E388">
            <v>38.4</v>
          </cell>
        </row>
        <row r="389">
          <cell r="A389">
            <v>0.38500000000000001</v>
          </cell>
          <cell r="E389">
            <v>38.5</v>
          </cell>
        </row>
        <row r="390">
          <cell r="A390">
            <v>0.38600000000000001</v>
          </cell>
          <cell r="E390">
            <v>38.6</v>
          </cell>
        </row>
        <row r="391">
          <cell r="A391">
            <v>0.38700000000000001</v>
          </cell>
          <cell r="E391">
            <v>38.700000000000003</v>
          </cell>
        </row>
        <row r="392">
          <cell r="A392">
            <v>0.38800000000000001</v>
          </cell>
          <cell r="E392">
            <v>38.799999999999997</v>
          </cell>
        </row>
        <row r="393">
          <cell r="A393">
            <v>0.38900000000000001</v>
          </cell>
          <cell r="E393">
            <v>38.9</v>
          </cell>
        </row>
        <row r="394">
          <cell r="A394">
            <v>0.39</v>
          </cell>
          <cell r="E394">
            <v>39</v>
          </cell>
        </row>
        <row r="395">
          <cell r="A395">
            <v>0.39100000000000001</v>
          </cell>
          <cell r="E395">
            <v>39.1</v>
          </cell>
        </row>
        <row r="396">
          <cell r="A396">
            <v>0.39200000000000002</v>
          </cell>
          <cell r="E396">
            <v>39.200000000000003</v>
          </cell>
        </row>
        <row r="397">
          <cell r="A397">
            <v>0.39300000000000002</v>
          </cell>
          <cell r="E397">
            <v>39.299999999999997</v>
          </cell>
        </row>
        <row r="398">
          <cell r="A398">
            <v>0.39400000000000002</v>
          </cell>
          <cell r="E398">
            <v>39.4</v>
          </cell>
        </row>
        <row r="399">
          <cell r="A399">
            <v>0.39500000000000002</v>
          </cell>
          <cell r="E399">
            <v>39.5</v>
          </cell>
        </row>
        <row r="400">
          <cell r="A400">
            <v>0.39600000000000002</v>
          </cell>
          <cell r="E400">
            <v>39.6</v>
          </cell>
        </row>
        <row r="401">
          <cell r="A401">
            <v>0.39700000000000002</v>
          </cell>
          <cell r="E401">
            <v>39.700000000000003</v>
          </cell>
        </row>
        <row r="402">
          <cell r="A402">
            <v>0.39800000000000002</v>
          </cell>
          <cell r="E402">
            <v>39.799999999999997</v>
          </cell>
        </row>
        <row r="403">
          <cell r="A403">
            <v>0.39900000000000002</v>
          </cell>
          <cell r="E403">
            <v>39.9</v>
          </cell>
        </row>
        <row r="404">
          <cell r="A404">
            <v>0.4</v>
          </cell>
          <cell r="E404">
            <v>40</v>
          </cell>
        </row>
        <row r="405">
          <cell r="A405">
            <v>0.40100000000000002</v>
          </cell>
          <cell r="E405">
            <v>40.1</v>
          </cell>
        </row>
        <row r="406">
          <cell r="A406">
            <v>0.40200000000000002</v>
          </cell>
          <cell r="E406">
            <v>40.200000000000003</v>
          </cell>
        </row>
        <row r="407">
          <cell r="A407">
            <v>0.40300000000000002</v>
          </cell>
          <cell r="E407">
            <v>40.299999999999997</v>
          </cell>
        </row>
        <row r="408">
          <cell r="A408">
            <v>0.40400000000000003</v>
          </cell>
          <cell r="E408">
            <v>40.4</v>
          </cell>
        </row>
        <row r="409">
          <cell r="A409">
            <v>0.40500000000000003</v>
          </cell>
          <cell r="E409">
            <v>40.5</v>
          </cell>
        </row>
        <row r="410">
          <cell r="A410">
            <v>0.40600000000000003</v>
          </cell>
          <cell r="E410">
            <v>40.6</v>
          </cell>
        </row>
        <row r="411">
          <cell r="A411">
            <v>0.40699999999999997</v>
          </cell>
          <cell r="E411">
            <v>40.700000000000003</v>
          </cell>
        </row>
        <row r="412">
          <cell r="A412">
            <v>0.40799999999999997</v>
          </cell>
          <cell r="E412">
            <v>40.799999999999997</v>
          </cell>
        </row>
        <row r="413">
          <cell r="A413">
            <v>0.40899999999999997</v>
          </cell>
          <cell r="E413">
            <v>40.9</v>
          </cell>
        </row>
        <row r="414">
          <cell r="A414">
            <v>0.41</v>
          </cell>
          <cell r="E414">
            <v>41</v>
          </cell>
        </row>
        <row r="415">
          <cell r="A415">
            <v>0.41099999999999998</v>
          </cell>
          <cell r="E415">
            <v>41.1</v>
          </cell>
        </row>
        <row r="416">
          <cell r="A416">
            <v>0.41199999999999998</v>
          </cell>
          <cell r="E416">
            <v>41.2</v>
          </cell>
        </row>
        <row r="417">
          <cell r="A417">
            <v>0.41299999999999998</v>
          </cell>
          <cell r="E417">
            <v>41.3</v>
          </cell>
        </row>
        <row r="418">
          <cell r="A418">
            <v>0.41399999999999998</v>
          </cell>
          <cell r="E418">
            <v>41.4</v>
          </cell>
        </row>
        <row r="419">
          <cell r="A419">
            <v>0.41499999999999998</v>
          </cell>
          <cell r="E419">
            <v>41.5</v>
          </cell>
        </row>
        <row r="420">
          <cell r="A420">
            <v>0.41599999999999998</v>
          </cell>
          <cell r="E420">
            <v>41.6</v>
          </cell>
        </row>
        <row r="421">
          <cell r="A421">
            <v>0.41699999999999998</v>
          </cell>
          <cell r="E421">
            <v>41.7</v>
          </cell>
        </row>
        <row r="422">
          <cell r="A422">
            <v>0.41799999999999998</v>
          </cell>
          <cell r="E422">
            <v>41.8</v>
          </cell>
        </row>
        <row r="423">
          <cell r="A423">
            <v>0.41899999999999998</v>
          </cell>
          <cell r="E423">
            <v>41.9</v>
          </cell>
        </row>
        <row r="424">
          <cell r="A424">
            <v>0.42</v>
          </cell>
          <cell r="E424">
            <v>42</v>
          </cell>
        </row>
        <row r="425">
          <cell r="A425">
            <v>0.42099999999999999</v>
          </cell>
          <cell r="E425">
            <v>42.1</v>
          </cell>
        </row>
        <row r="426">
          <cell r="A426">
            <v>0.42199999999999999</v>
          </cell>
          <cell r="E426">
            <v>42.2</v>
          </cell>
        </row>
        <row r="427">
          <cell r="A427">
            <v>0.42299999999999999</v>
          </cell>
          <cell r="E427">
            <v>42.3</v>
          </cell>
        </row>
        <row r="428">
          <cell r="A428">
            <v>0.42399999999999999</v>
          </cell>
          <cell r="E428">
            <v>42.4</v>
          </cell>
        </row>
        <row r="429">
          <cell r="A429">
            <v>0.42499999999999999</v>
          </cell>
          <cell r="E429">
            <v>42.5</v>
          </cell>
        </row>
        <row r="430">
          <cell r="A430">
            <v>0.42599999999999999</v>
          </cell>
          <cell r="E430">
            <v>42.6</v>
          </cell>
        </row>
        <row r="431">
          <cell r="A431">
            <v>0.42699999999999999</v>
          </cell>
          <cell r="E431">
            <v>42.7</v>
          </cell>
        </row>
        <row r="432">
          <cell r="A432">
            <v>0.42799999999999999</v>
          </cell>
          <cell r="E432">
            <v>42.8</v>
          </cell>
        </row>
        <row r="433">
          <cell r="A433">
            <v>0.42899999999999999</v>
          </cell>
          <cell r="E433">
            <v>42.9</v>
          </cell>
        </row>
        <row r="434">
          <cell r="A434">
            <v>0.43</v>
          </cell>
          <cell r="E434">
            <v>43</v>
          </cell>
        </row>
        <row r="435">
          <cell r="A435">
            <v>0.43099999999999999</v>
          </cell>
          <cell r="E435">
            <v>43.1</v>
          </cell>
        </row>
        <row r="436">
          <cell r="A436">
            <v>0.432</v>
          </cell>
          <cell r="E436">
            <v>43.2</v>
          </cell>
        </row>
        <row r="437">
          <cell r="A437">
            <v>0.433</v>
          </cell>
          <cell r="E437">
            <v>43.3</v>
          </cell>
        </row>
        <row r="438">
          <cell r="A438">
            <v>0.434</v>
          </cell>
          <cell r="E438">
            <v>43.4</v>
          </cell>
        </row>
        <row r="439">
          <cell r="A439">
            <v>0.435</v>
          </cell>
          <cell r="E439">
            <v>43.5</v>
          </cell>
        </row>
        <row r="440">
          <cell r="A440">
            <v>0.436</v>
          </cell>
          <cell r="E440">
            <v>43.6</v>
          </cell>
        </row>
        <row r="441">
          <cell r="A441">
            <v>0.437</v>
          </cell>
          <cell r="E441">
            <v>43.7</v>
          </cell>
        </row>
        <row r="442">
          <cell r="A442">
            <v>0.438</v>
          </cell>
          <cell r="E442">
            <v>43.8</v>
          </cell>
        </row>
        <row r="443">
          <cell r="A443">
            <v>0.439</v>
          </cell>
          <cell r="E443">
            <v>43.9</v>
          </cell>
        </row>
        <row r="444">
          <cell r="A444">
            <v>0.44</v>
          </cell>
          <cell r="E444">
            <v>44</v>
          </cell>
        </row>
        <row r="445">
          <cell r="A445">
            <v>0.441</v>
          </cell>
          <cell r="E445">
            <v>44.1</v>
          </cell>
        </row>
        <row r="446">
          <cell r="A446">
            <v>0.442</v>
          </cell>
          <cell r="E446">
            <v>44.2</v>
          </cell>
        </row>
        <row r="447">
          <cell r="A447">
            <v>0.443</v>
          </cell>
          <cell r="E447">
            <v>44.3</v>
          </cell>
        </row>
        <row r="448">
          <cell r="A448">
            <v>0.44400000000000001</v>
          </cell>
          <cell r="E448">
            <v>44.4</v>
          </cell>
        </row>
        <row r="449">
          <cell r="A449">
            <v>0.44500000000000001</v>
          </cell>
          <cell r="E449">
            <v>44.5</v>
          </cell>
        </row>
        <row r="450">
          <cell r="A450">
            <v>0.44600000000000001</v>
          </cell>
          <cell r="E450">
            <v>44.6</v>
          </cell>
        </row>
        <row r="451">
          <cell r="A451">
            <v>0.44700000000000001</v>
          </cell>
          <cell r="E451">
            <v>44.7</v>
          </cell>
        </row>
        <row r="452">
          <cell r="A452">
            <v>0.44800000000000001</v>
          </cell>
          <cell r="E452">
            <v>44.8</v>
          </cell>
        </row>
        <row r="453">
          <cell r="A453">
            <v>0.44900000000000001</v>
          </cell>
          <cell r="E453">
            <v>44.9</v>
          </cell>
        </row>
        <row r="454">
          <cell r="A454">
            <v>0.45</v>
          </cell>
          <cell r="E454">
            <v>45</v>
          </cell>
        </row>
        <row r="455">
          <cell r="A455">
            <v>0.45100000000000001</v>
          </cell>
          <cell r="E455">
            <v>45.1</v>
          </cell>
        </row>
        <row r="456">
          <cell r="A456">
            <v>0.45200000000000001</v>
          </cell>
          <cell r="E456">
            <v>45.2</v>
          </cell>
        </row>
        <row r="457">
          <cell r="A457">
            <v>0.45300000000000001</v>
          </cell>
          <cell r="E457">
            <v>45.3</v>
          </cell>
        </row>
        <row r="458">
          <cell r="A458">
            <v>0.45400000000000001</v>
          </cell>
          <cell r="E458">
            <v>45.4</v>
          </cell>
        </row>
        <row r="459">
          <cell r="A459">
            <v>0.45500000000000002</v>
          </cell>
          <cell r="E459">
            <v>45.5</v>
          </cell>
        </row>
        <row r="460">
          <cell r="A460">
            <v>0.45600000000000002</v>
          </cell>
          <cell r="E460">
            <v>45.6</v>
          </cell>
        </row>
        <row r="461">
          <cell r="A461">
            <v>0.45700000000000002</v>
          </cell>
          <cell r="E461">
            <v>45.7</v>
          </cell>
        </row>
        <row r="462">
          <cell r="A462">
            <v>0.45800000000000002</v>
          </cell>
          <cell r="E462">
            <v>45.8</v>
          </cell>
        </row>
        <row r="463">
          <cell r="A463">
            <v>0.45900000000000002</v>
          </cell>
          <cell r="E463">
            <v>45.9</v>
          </cell>
        </row>
        <row r="464">
          <cell r="A464">
            <v>0.46</v>
          </cell>
          <cell r="E464">
            <v>46</v>
          </cell>
        </row>
        <row r="465">
          <cell r="A465">
            <v>0.46100000000000002</v>
          </cell>
          <cell r="E465">
            <v>46.1</v>
          </cell>
        </row>
        <row r="466">
          <cell r="A466">
            <v>0.46200000000000002</v>
          </cell>
          <cell r="E466">
            <v>46.2</v>
          </cell>
        </row>
        <row r="467">
          <cell r="A467">
            <v>0.46300000000000002</v>
          </cell>
          <cell r="E467">
            <v>46.3</v>
          </cell>
        </row>
        <row r="468">
          <cell r="A468">
            <v>0.46400000000000002</v>
          </cell>
          <cell r="E468">
            <v>46.4</v>
          </cell>
        </row>
        <row r="469">
          <cell r="A469">
            <v>0.46500000000000002</v>
          </cell>
          <cell r="E469">
            <v>46.5</v>
          </cell>
        </row>
        <row r="470">
          <cell r="A470">
            <v>0.46600000000000003</v>
          </cell>
          <cell r="E470">
            <v>46.6</v>
          </cell>
        </row>
        <row r="471">
          <cell r="A471">
            <v>0.46700000000000003</v>
          </cell>
          <cell r="E471">
            <v>46.7</v>
          </cell>
        </row>
        <row r="472">
          <cell r="A472">
            <v>0.46800000000000003</v>
          </cell>
          <cell r="E472">
            <v>46.8</v>
          </cell>
        </row>
        <row r="473">
          <cell r="A473">
            <v>0.46899999999999997</v>
          </cell>
          <cell r="E473">
            <v>46.9</v>
          </cell>
        </row>
        <row r="474">
          <cell r="A474">
            <v>0.47</v>
          </cell>
          <cell r="E474">
            <v>47</v>
          </cell>
        </row>
        <row r="475">
          <cell r="A475">
            <v>0.47099999999999997</v>
          </cell>
          <cell r="E475">
            <v>47.1</v>
          </cell>
        </row>
        <row r="476">
          <cell r="A476">
            <v>0.47199999999999998</v>
          </cell>
          <cell r="E476">
            <v>47.2</v>
          </cell>
        </row>
        <row r="477">
          <cell r="A477">
            <v>0.47299999999999998</v>
          </cell>
          <cell r="E477">
            <v>47.3</v>
          </cell>
        </row>
        <row r="478">
          <cell r="A478">
            <v>0.47399999999999998</v>
          </cell>
          <cell r="E478">
            <v>47.4</v>
          </cell>
        </row>
        <row r="479">
          <cell r="A479">
            <v>0.47499999999999998</v>
          </cell>
          <cell r="E479">
            <v>47.5</v>
          </cell>
        </row>
        <row r="480">
          <cell r="A480">
            <v>0.47599999999999998</v>
          </cell>
          <cell r="E480">
            <v>47.6</v>
          </cell>
        </row>
        <row r="481">
          <cell r="A481">
            <v>0.47699999999999998</v>
          </cell>
          <cell r="E481">
            <v>47.7</v>
          </cell>
        </row>
        <row r="482">
          <cell r="A482">
            <v>0.47799999999999998</v>
          </cell>
          <cell r="E482">
            <v>47.8</v>
          </cell>
        </row>
        <row r="483">
          <cell r="A483">
            <v>0.47899999999999998</v>
          </cell>
          <cell r="E483">
            <v>47.9</v>
          </cell>
        </row>
        <row r="484">
          <cell r="A484">
            <v>0.48</v>
          </cell>
          <cell r="E484">
            <v>48</v>
          </cell>
        </row>
        <row r="485">
          <cell r="A485">
            <v>0.48099999999999998</v>
          </cell>
          <cell r="E485">
            <v>48.1</v>
          </cell>
        </row>
        <row r="486">
          <cell r="A486">
            <v>0.48199999999999998</v>
          </cell>
          <cell r="E486">
            <v>48.2</v>
          </cell>
        </row>
        <row r="487">
          <cell r="A487">
            <v>0.48299999999999998</v>
          </cell>
          <cell r="E487">
            <v>48.3</v>
          </cell>
        </row>
        <row r="488">
          <cell r="A488">
            <v>0.48399999999999999</v>
          </cell>
          <cell r="E488">
            <v>48.4</v>
          </cell>
        </row>
        <row r="489">
          <cell r="A489">
            <v>0.48499999999999999</v>
          </cell>
          <cell r="E489">
            <v>48.5</v>
          </cell>
        </row>
        <row r="490">
          <cell r="A490">
            <v>0.48599999999999999</v>
          </cell>
          <cell r="E490">
            <v>48.6</v>
          </cell>
        </row>
        <row r="491">
          <cell r="A491">
            <v>0.48699999999999999</v>
          </cell>
          <cell r="E491">
            <v>48.7</v>
          </cell>
        </row>
        <row r="492">
          <cell r="A492">
            <v>0.48799999999999999</v>
          </cell>
          <cell r="E492">
            <v>48.8</v>
          </cell>
        </row>
        <row r="493">
          <cell r="A493">
            <v>0.48899999999999999</v>
          </cell>
          <cell r="E493">
            <v>48.9</v>
          </cell>
        </row>
        <row r="494">
          <cell r="A494">
            <v>0.49</v>
          </cell>
          <cell r="E494">
            <v>49</v>
          </cell>
        </row>
        <row r="495">
          <cell r="A495">
            <v>0.49099999999999999</v>
          </cell>
          <cell r="E495">
            <v>49.1</v>
          </cell>
        </row>
        <row r="496">
          <cell r="A496">
            <v>0.49199999999999999</v>
          </cell>
          <cell r="E496">
            <v>49.2</v>
          </cell>
        </row>
        <row r="497">
          <cell r="A497">
            <v>0.49299999999999999</v>
          </cell>
          <cell r="E497">
            <v>49.3</v>
          </cell>
        </row>
        <row r="498">
          <cell r="A498">
            <v>0.49399999999999999</v>
          </cell>
          <cell r="E498">
            <v>49.4</v>
          </cell>
        </row>
        <row r="499">
          <cell r="A499">
            <v>0.495</v>
          </cell>
          <cell r="E499">
            <v>49.5</v>
          </cell>
        </row>
        <row r="500">
          <cell r="A500">
            <v>0.496</v>
          </cell>
          <cell r="E500">
            <v>49.6</v>
          </cell>
        </row>
        <row r="501">
          <cell r="A501">
            <v>0.497</v>
          </cell>
          <cell r="E501">
            <v>49.7</v>
          </cell>
        </row>
        <row r="502">
          <cell r="A502">
            <v>0.498</v>
          </cell>
          <cell r="E502">
            <v>49.8</v>
          </cell>
        </row>
        <row r="503">
          <cell r="A503">
            <v>0.499</v>
          </cell>
          <cell r="E503">
            <v>49.9</v>
          </cell>
        </row>
        <row r="504">
          <cell r="A504">
            <v>0.5</v>
          </cell>
          <cell r="E504">
            <v>50</v>
          </cell>
        </row>
        <row r="505">
          <cell r="A505">
            <v>0.501</v>
          </cell>
          <cell r="E505">
            <v>50.1</v>
          </cell>
        </row>
        <row r="506">
          <cell r="A506">
            <v>0.502</v>
          </cell>
          <cell r="E506">
            <v>50.2</v>
          </cell>
        </row>
        <row r="507">
          <cell r="A507">
            <v>0.503</v>
          </cell>
          <cell r="E507">
            <v>50.3</v>
          </cell>
        </row>
        <row r="508">
          <cell r="A508">
            <v>0.504</v>
          </cell>
          <cell r="E508">
            <v>50.4</v>
          </cell>
        </row>
        <row r="509">
          <cell r="A509">
            <v>0.505</v>
          </cell>
          <cell r="E509">
            <v>50.5</v>
          </cell>
        </row>
        <row r="510">
          <cell r="A510">
            <v>0.50600000000000001</v>
          </cell>
          <cell r="E510">
            <v>50.6</v>
          </cell>
        </row>
        <row r="511">
          <cell r="A511">
            <v>0.50700000000000001</v>
          </cell>
          <cell r="E511">
            <v>50.7</v>
          </cell>
        </row>
        <row r="512">
          <cell r="A512">
            <v>0.50800000000000001</v>
          </cell>
          <cell r="E512">
            <v>50.8</v>
          </cell>
        </row>
        <row r="513">
          <cell r="A513">
            <v>0.50900000000000001</v>
          </cell>
          <cell r="E513">
            <v>50.9</v>
          </cell>
        </row>
        <row r="514">
          <cell r="A514">
            <v>0.51</v>
          </cell>
          <cell r="E514">
            <v>51</v>
          </cell>
        </row>
        <row r="515">
          <cell r="A515">
            <v>0.51100000000000001</v>
          </cell>
          <cell r="E515">
            <v>51.1</v>
          </cell>
        </row>
        <row r="516">
          <cell r="A516">
            <v>0.51200000000000001</v>
          </cell>
          <cell r="E516">
            <v>51.2</v>
          </cell>
        </row>
        <row r="517">
          <cell r="A517">
            <v>0.51300000000000001</v>
          </cell>
          <cell r="E517">
            <v>51.3</v>
          </cell>
        </row>
        <row r="518">
          <cell r="A518">
            <v>0.51400000000000001</v>
          </cell>
          <cell r="E518">
            <v>51.4</v>
          </cell>
        </row>
        <row r="519">
          <cell r="A519">
            <v>0.51500000000000001</v>
          </cell>
          <cell r="E519">
            <v>51.5</v>
          </cell>
        </row>
        <row r="520">
          <cell r="A520">
            <v>0.51600000000000001</v>
          </cell>
          <cell r="E520">
            <v>51.6</v>
          </cell>
        </row>
        <row r="521">
          <cell r="A521">
            <v>0.51700000000000002</v>
          </cell>
          <cell r="E521">
            <v>51.7</v>
          </cell>
        </row>
        <row r="522">
          <cell r="A522">
            <v>0.51800000000000002</v>
          </cell>
          <cell r="E522">
            <v>51.8</v>
          </cell>
        </row>
        <row r="523">
          <cell r="A523">
            <v>0.51900000000000002</v>
          </cell>
          <cell r="E523">
            <v>51.9</v>
          </cell>
        </row>
        <row r="524">
          <cell r="A524">
            <v>0.52</v>
          </cell>
          <cell r="E524">
            <v>52</v>
          </cell>
        </row>
        <row r="525">
          <cell r="A525">
            <v>0.52100000000000002</v>
          </cell>
          <cell r="E525">
            <v>52.1</v>
          </cell>
        </row>
        <row r="526">
          <cell r="A526">
            <v>0.52200000000000002</v>
          </cell>
          <cell r="E526">
            <v>52.2</v>
          </cell>
        </row>
        <row r="527">
          <cell r="A527">
            <v>0.52300000000000002</v>
          </cell>
          <cell r="E527">
            <v>52.3</v>
          </cell>
        </row>
        <row r="528">
          <cell r="A528">
            <v>0.52400000000000002</v>
          </cell>
          <cell r="E528">
            <v>52.4</v>
          </cell>
        </row>
        <row r="529">
          <cell r="A529">
            <v>0.52500000000000002</v>
          </cell>
          <cell r="E529">
            <v>52.5</v>
          </cell>
        </row>
        <row r="530">
          <cell r="A530">
            <v>0.52600000000000002</v>
          </cell>
          <cell r="E530">
            <v>52.6</v>
          </cell>
        </row>
        <row r="531">
          <cell r="A531">
            <v>0.52700000000000002</v>
          </cell>
          <cell r="E531">
            <v>52.7</v>
          </cell>
        </row>
        <row r="532">
          <cell r="A532">
            <v>0.52800000000000002</v>
          </cell>
          <cell r="E532">
            <v>52.8</v>
          </cell>
        </row>
        <row r="533">
          <cell r="A533">
            <v>0.52900000000000003</v>
          </cell>
          <cell r="E533">
            <v>52.9</v>
          </cell>
        </row>
        <row r="534">
          <cell r="A534">
            <v>0.53</v>
          </cell>
          <cell r="E534">
            <v>53</v>
          </cell>
        </row>
        <row r="535">
          <cell r="A535">
            <v>0.53100000000000003</v>
          </cell>
          <cell r="E535">
            <v>53.1</v>
          </cell>
        </row>
        <row r="536">
          <cell r="A536">
            <v>0.53200000000000003</v>
          </cell>
          <cell r="E536">
            <v>53.2</v>
          </cell>
        </row>
        <row r="537">
          <cell r="A537">
            <v>0.53300000000000003</v>
          </cell>
          <cell r="E537">
            <v>53.3</v>
          </cell>
        </row>
        <row r="538">
          <cell r="A538">
            <v>0.53400000000000003</v>
          </cell>
          <cell r="E538">
            <v>53.4</v>
          </cell>
        </row>
        <row r="539">
          <cell r="A539">
            <v>0.53500000000000003</v>
          </cell>
          <cell r="E539">
            <v>53.5</v>
          </cell>
        </row>
        <row r="540">
          <cell r="A540">
            <v>0.53600000000000003</v>
          </cell>
          <cell r="E540">
            <v>53.6</v>
          </cell>
        </row>
        <row r="541">
          <cell r="A541">
            <v>0.53700000000000003</v>
          </cell>
          <cell r="E541">
            <v>53.7</v>
          </cell>
        </row>
        <row r="542">
          <cell r="A542">
            <v>0.53800000000000003</v>
          </cell>
          <cell r="E542">
            <v>53.8</v>
          </cell>
        </row>
        <row r="543">
          <cell r="A543">
            <v>0.53900000000000003</v>
          </cell>
          <cell r="E543">
            <v>53.9</v>
          </cell>
        </row>
        <row r="544">
          <cell r="A544">
            <v>0.54</v>
          </cell>
          <cell r="E544">
            <v>54</v>
          </cell>
        </row>
        <row r="545">
          <cell r="A545">
            <v>0.54100000000000004</v>
          </cell>
          <cell r="E545">
            <v>54.1</v>
          </cell>
        </row>
        <row r="546">
          <cell r="A546">
            <v>0.54200000000000004</v>
          </cell>
          <cell r="E546">
            <v>54.2</v>
          </cell>
        </row>
        <row r="547">
          <cell r="A547">
            <v>0.54300000000000004</v>
          </cell>
          <cell r="E547">
            <v>54.3</v>
          </cell>
        </row>
        <row r="548">
          <cell r="A548">
            <v>0.54400000000000004</v>
          </cell>
          <cell r="E548">
            <v>54.4</v>
          </cell>
        </row>
        <row r="549">
          <cell r="A549">
            <v>0.54500000000000004</v>
          </cell>
          <cell r="E549">
            <v>54.5</v>
          </cell>
        </row>
        <row r="550">
          <cell r="A550">
            <v>0.54600000000000004</v>
          </cell>
          <cell r="E550">
            <v>54.6</v>
          </cell>
        </row>
        <row r="551">
          <cell r="A551">
            <v>0.54700000000000004</v>
          </cell>
          <cell r="E551">
            <v>54.7</v>
          </cell>
        </row>
        <row r="552">
          <cell r="A552">
            <v>0.54800000000000004</v>
          </cell>
          <cell r="E552">
            <v>54.8</v>
          </cell>
        </row>
        <row r="553">
          <cell r="A553">
            <v>0.54900000000000004</v>
          </cell>
          <cell r="E553">
            <v>54.9</v>
          </cell>
        </row>
        <row r="554">
          <cell r="A554">
            <v>0.55000000000000004</v>
          </cell>
          <cell r="E554">
            <v>55</v>
          </cell>
        </row>
        <row r="555">
          <cell r="A555">
            <v>0.55100000000000005</v>
          </cell>
          <cell r="E555">
            <v>55.1</v>
          </cell>
        </row>
        <row r="556">
          <cell r="A556">
            <v>0.55200000000000005</v>
          </cell>
          <cell r="E556">
            <v>55.2</v>
          </cell>
        </row>
        <row r="557">
          <cell r="A557">
            <v>0.55300000000000005</v>
          </cell>
          <cell r="E557">
            <v>55.3</v>
          </cell>
        </row>
        <row r="558">
          <cell r="A558">
            <v>0.55400000000000005</v>
          </cell>
          <cell r="E558">
            <v>55.4</v>
          </cell>
        </row>
        <row r="559">
          <cell r="A559">
            <v>0.55500000000000005</v>
          </cell>
          <cell r="E559">
            <v>55.5</v>
          </cell>
        </row>
        <row r="560">
          <cell r="A560">
            <v>0.55600000000000005</v>
          </cell>
          <cell r="E560">
            <v>55.6</v>
          </cell>
        </row>
        <row r="561">
          <cell r="A561">
            <v>0.55700000000000005</v>
          </cell>
          <cell r="E561">
            <v>55.7</v>
          </cell>
        </row>
        <row r="562">
          <cell r="A562">
            <v>0.55800000000000005</v>
          </cell>
          <cell r="E562">
            <v>55.8</v>
          </cell>
        </row>
        <row r="563">
          <cell r="A563">
            <v>0.55900000000000005</v>
          </cell>
          <cell r="E563">
            <v>55.9</v>
          </cell>
        </row>
        <row r="564">
          <cell r="A564">
            <v>0.56000000000000005</v>
          </cell>
          <cell r="E564">
            <v>56</v>
          </cell>
        </row>
        <row r="565">
          <cell r="A565">
            <v>0.56100000000000005</v>
          </cell>
          <cell r="E565">
            <v>56.1</v>
          </cell>
        </row>
        <row r="566">
          <cell r="A566">
            <v>0.56200000000000006</v>
          </cell>
          <cell r="E566">
            <v>56.2</v>
          </cell>
        </row>
        <row r="567">
          <cell r="A567">
            <v>0.56299999999999994</v>
          </cell>
          <cell r="E567">
            <v>56.3</v>
          </cell>
        </row>
        <row r="568">
          <cell r="A568">
            <v>0.56399999999999995</v>
          </cell>
          <cell r="E568">
            <v>56.4</v>
          </cell>
        </row>
        <row r="569">
          <cell r="A569">
            <v>0.56499999999999995</v>
          </cell>
          <cell r="E569">
            <v>56.5</v>
          </cell>
        </row>
        <row r="570">
          <cell r="A570">
            <v>0.56599999999999995</v>
          </cell>
          <cell r="E570">
            <v>56.6</v>
          </cell>
        </row>
        <row r="571">
          <cell r="A571">
            <v>0.56699999999999995</v>
          </cell>
          <cell r="E571">
            <v>56.7</v>
          </cell>
        </row>
        <row r="572">
          <cell r="A572">
            <v>0.56799999999999995</v>
          </cell>
          <cell r="E572">
            <v>56.8</v>
          </cell>
        </row>
        <row r="573">
          <cell r="A573">
            <v>0.56899999999999995</v>
          </cell>
          <cell r="E573">
            <v>56.9</v>
          </cell>
        </row>
        <row r="574">
          <cell r="A574">
            <v>0.56999999999999995</v>
          </cell>
          <cell r="E574">
            <v>57</v>
          </cell>
        </row>
        <row r="575">
          <cell r="A575">
            <v>0.57099999999999995</v>
          </cell>
          <cell r="E575">
            <v>57.1</v>
          </cell>
        </row>
        <row r="576">
          <cell r="A576">
            <v>0.57199999999999995</v>
          </cell>
          <cell r="E576">
            <v>57.2</v>
          </cell>
        </row>
        <row r="577">
          <cell r="A577">
            <v>0.57299999999999995</v>
          </cell>
          <cell r="E577">
            <v>57.3</v>
          </cell>
        </row>
        <row r="578">
          <cell r="A578">
            <v>0.57399999999999995</v>
          </cell>
          <cell r="E578">
            <v>57.4</v>
          </cell>
        </row>
        <row r="579">
          <cell r="A579">
            <v>0.57499999999999996</v>
          </cell>
          <cell r="E579">
            <v>57.5</v>
          </cell>
        </row>
        <row r="580">
          <cell r="A580">
            <v>0.57599999999999996</v>
          </cell>
          <cell r="E580">
            <v>57.6</v>
          </cell>
        </row>
        <row r="581">
          <cell r="A581">
            <v>0.57699999999999996</v>
          </cell>
          <cell r="E581">
            <v>57.7</v>
          </cell>
        </row>
        <row r="582">
          <cell r="A582">
            <v>0.57799999999999996</v>
          </cell>
          <cell r="E582">
            <v>57.8</v>
          </cell>
        </row>
        <row r="583">
          <cell r="A583">
            <v>0.57899999999999996</v>
          </cell>
          <cell r="E583">
            <v>57.9</v>
          </cell>
        </row>
        <row r="584">
          <cell r="A584">
            <v>0.57999999999999996</v>
          </cell>
          <cell r="E584">
            <v>58</v>
          </cell>
        </row>
        <row r="585">
          <cell r="A585">
            <v>0.58099999999999996</v>
          </cell>
          <cell r="E585">
            <v>58.1</v>
          </cell>
        </row>
        <row r="586">
          <cell r="A586">
            <v>0.58199999999999996</v>
          </cell>
          <cell r="E586">
            <v>58.2</v>
          </cell>
        </row>
        <row r="587">
          <cell r="A587">
            <v>0.58299999999999996</v>
          </cell>
          <cell r="E587">
            <v>58.3</v>
          </cell>
        </row>
        <row r="588">
          <cell r="A588">
            <v>0.58399999999999996</v>
          </cell>
          <cell r="E588">
            <v>58.4</v>
          </cell>
        </row>
        <row r="589">
          <cell r="A589">
            <v>0.58499999999999996</v>
          </cell>
          <cell r="E589">
            <v>58.5</v>
          </cell>
        </row>
        <row r="590">
          <cell r="A590">
            <v>0.58599999999999997</v>
          </cell>
          <cell r="E590">
            <v>58.6</v>
          </cell>
        </row>
        <row r="591">
          <cell r="A591">
            <v>0.58699999999999997</v>
          </cell>
          <cell r="E591">
            <v>58.7</v>
          </cell>
        </row>
        <row r="592">
          <cell r="A592">
            <v>0.58799999999999997</v>
          </cell>
          <cell r="E592">
            <v>58.8</v>
          </cell>
        </row>
        <row r="593">
          <cell r="A593">
            <v>0.58899999999999997</v>
          </cell>
          <cell r="E593">
            <v>58.9</v>
          </cell>
        </row>
        <row r="594">
          <cell r="A594">
            <v>0.59</v>
          </cell>
          <cell r="E594">
            <v>59</v>
          </cell>
        </row>
        <row r="595">
          <cell r="A595">
            <v>0.59099999999999997</v>
          </cell>
          <cell r="E595">
            <v>59.1</v>
          </cell>
        </row>
        <row r="596">
          <cell r="A596">
            <v>0.59199999999999997</v>
          </cell>
          <cell r="E596">
            <v>59.2</v>
          </cell>
        </row>
        <row r="597">
          <cell r="A597">
            <v>0.59299999999999997</v>
          </cell>
          <cell r="E597">
            <v>59.3</v>
          </cell>
        </row>
        <row r="598">
          <cell r="A598">
            <v>0.59399999999999997</v>
          </cell>
          <cell r="E598">
            <v>59.4</v>
          </cell>
        </row>
        <row r="599">
          <cell r="A599">
            <v>0.59499999999999997</v>
          </cell>
          <cell r="E599">
            <v>59.5</v>
          </cell>
        </row>
        <row r="600">
          <cell r="A600">
            <v>0.59599999999999997</v>
          </cell>
          <cell r="E600">
            <v>59.6</v>
          </cell>
        </row>
        <row r="601">
          <cell r="A601">
            <v>0.59699999999999998</v>
          </cell>
          <cell r="E601">
            <v>59.7</v>
          </cell>
        </row>
        <row r="602">
          <cell r="A602">
            <v>0.59799999999999998</v>
          </cell>
          <cell r="E602">
            <v>59.8</v>
          </cell>
        </row>
        <row r="603">
          <cell r="A603">
            <v>0.59899999999999998</v>
          </cell>
          <cell r="E603">
            <v>59.9</v>
          </cell>
        </row>
        <row r="604">
          <cell r="A604">
            <v>0.6</v>
          </cell>
          <cell r="E604">
            <v>60</v>
          </cell>
        </row>
        <row r="605">
          <cell r="A605">
            <v>0.60099999999999998</v>
          </cell>
          <cell r="E605">
            <v>60.1</v>
          </cell>
        </row>
        <row r="606">
          <cell r="A606">
            <v>0.60199999999999998</v>
          </cell>
          <cell r="E606">
            <v>60.2</v>
          </cell>
        </row>
        <row r="607">
          <cell r="A607">
            <v>0.60299999999999998</v>
          </cell>
          <cell r="E607">
            <v>60.3</v>
          </cell>
        </row>
        <row r="608">
          <cell r="A608">
            <v>0.60399999999999998</v>
          </cell>
          <cell r="E608">
            <v>60.4</v>
          </cell>
        </row>
        <row r="609">
          <cell r="A609">
            <v>0.60499999999999998</v>
          </cell>
          <cell r="E609">
            <v>60.5</v>
          </cell>
        </row>
        <row r="610">
          <cell r="A610">
            <v>0.60599999999999998</v>
          </cell>
          <cell r="E610">
            <v>60.6</v>
          </cell>
        </row>
        <row r="611">
          <cell r="A611">
            <v>0.60699999999999998</v>
          </cell>
          <cell r="E611">
            <v>60.7</v>
          </cell>
        </row>
        <row r="612">
          <cell r="A612">
            <v>0.60799999999999998</v>
          </cell>
          <cell r="E612">
            <v>60.8</v>
          </cell>
        </row>
        <row r="613">
          <cell r="A613">
            <v>0.60899999999999999</v>
          </cell>
          <cell r="E613">
            <v>60.9</v>
          </cell>
        </row>
        <row r="614">
          <cell r="A614">
            <v>0.61</v>
          </cell>
          <cell r="E614">
            <v>61</v>
          </cell>
        </row>
        <row r="615">
          <cell r="A615">
            <v>0.61099999999999999</v>
          </cell>
          <cell r="E615">
            <v>61.1</v>
          </cell>
        </row>
        <row r="616">
          <cell r="A616">
            <v>0.61199999999999999</v>
          </cell>
          <cell r="E616">
            <v>61.2</v>
          </cell>
        </row>
        <row r="617">
          <cell r="A617">
            <v>0.61299999999999999</v>
          </cell>
          <cell r="E617">
            <v>61.3</v>
          </cell>
        </row>
        <row r="618">
          <cell r="A618">
            <v>0.61399999999999999</v>
          </cell>
          <cell r="E618">
            <v>61.4</v>
          </cell>
        </row>
        <row r="619">
          <cell r="A619">
            <v>0.61499999999999999</v>
          </cell>
          <cell r="E619">
            <v>61.5</v>
          </cell>
        </row>
        <row r="620">
          <cell r="A620">
            <v>0.61599999999999999</v>
          </cell>
          <cell r="E620">
            <v>61.6</v>
          </cell>
        </row>
        <row r="621">
          <cell r="A621">
            <v>0.61699999999999999</v>
          </cell>
          <cell r="E621">
            <v>61.7</v>
          </cell>
        </row>
        <row r="622">
          <cell r="A622">
            <v>0.61799999999999999</v>
          </cell>
          <cell r="E622">
            <v>61.8</v>
          </cell>
        </row>
        <row r="623">
          <cell r="A623">
            <v>0.61899999999999999</v>
          </cell>
          <cell r="E623">
            <v>61.9</v>
          </cell>
        </row>
        <row r="624">
          <cell r="A624">
            <v>0.62</v>
          </cell>
          <cell r="E624">
            <v>62</v>
          </cell>
        </row>
        <row r="625">
          <cell r="A625">
            <v>0.621</v>
          </cell>
          <cell r="E625">
            <v>62.1</v>
          </cell>
        </row>
        <row r="626">
          <cell r="A626">
            <v>0.622</v>
          </cell>
          <cell r="E626">
            <v>62.2</v>
          </cell>
        </row>
        <row r="627">
          <cell r="A627">
            <v>0.623</v>
          </cell>
          <cell r="E627">
            <v>62.3</v>
          </cell>
        </row>
        <row r="628">
          <cell r="A628">
            <v>0.624</v>
          </cell>
          <cell r="E628">
            <v>62.4</v>
          </cell>
        </row>
        <row r="629">
          <cell r="A629">
            <v>0.625</v>
          </cell>
          <cell r="E629">
            <v>62.5</v>
          </cell>
        </row>
        <row r="630">
          <cell r="A630">
            <v>0.626</v>
          </cell>
          <cell r="E630">
            <v>62.6</v>
          </cell>
        </row>
        <row r="631">
          <cell r="A631">
            <v>0.627</v>
          </cell>
          <cell r="E631">
            <v>62.7</v>
          </cell>
        </row>
        <row r="632">
          <cell r="A632">
            <v>0.628</v>
          </cell>
          <cell r="E632">
            <v>62.8</v>
          </cell>
        </row>
        <row r="633">
          <cell r="A633">
            <v>0.629</v>
          </cell>
          <cell r="E633">
            <v>62.9</v>
          </cell>
        </row>
        <row r="634">
          <cell r="A634">
            <v>0.63</v>
          </cell>
          <cell r="E634">
            <v>63</v>
          </cell>
        </row>
        <row r="635">
          <cell r="A635">
            <v>0.63100000000000001</v>
          </cell>
          <cell r="E635">
            <v>63.1</v>
          </cell>
        </row>
        <row r="636">
          <cell r="A636">
            <v>0.63200000000000001</v>
          </cell>
          <cell r="E636">
            <v>63.2</v>
          </cell>
        </row>
        <row r="637">
          <cell r="A637">
            <v>0.63300000000000001</v>
          </cell>
          <cell r="E637">
            <v>63.3</v>
          </cell>
        </row>
        <row r="638">
          <cell r="A638">
            <v>0.63400000000000001</v>
          </cell>
          <cell r="E638">
            <v>63.4</v>
          </cell>
        </row>
        <row r="639">
          <cell r="A639">
            <v>0.63500000000000001</v>
          </cell>
          <cell r="E639">
            <v>63.5</v>
          </cell>
        </row>
        <row r="640">
          <cell r="A640">
            <v>0.63600000000000001</v>
          </cell>
          <cell r="E640">
            <v>63.6</v>
          </cell>
        </row>
        <row r="641">
          <cell r="A641">
            <v>0.63700000000000001</v>
          </cell>
          <cell r="E641">
            <v>63.7</v>
          </cell>
        </row>
        <row r="642">
          <cell r="A642">
            <v>0.63800000000000001</v>
          </cell>
          <cell r="E642">
            <v>63.8</v>
          </cell>
        </row>
        <row r="643">
          <cell r="A643">
            <v>0.63900000000000001</v>
          </cell>
          <cell r="E643">
            <v>63.9</v>
          </cell>
        </row>
        <row r="644">
          <cell r="A644">
            <v>0.64</v>
          </cell>
          <cell r="E644">
            <v>64</v>
          </cell>
        </row>
        <row r="645">
          <cell r="A645">
            <v>0.64100000000000001</v>
          </cell>
          <cell r="E645">
            <v>64.099999999999994</v>
          </cell>
        </row>
        <row r="646">
          <cell r="A646">
            <v>0.64200000000000002</v>
          </cell>
          <cell r="E646">
            <v>64.2</v>
          </cell>
        </row>
        <row r="647">
          <cell r="A647">
            <v>0.64300000000000002</v>
          </cell>
          <cell r="E647">
            <v>64.3</v>
          </cell>
        </row>
        <row r="648">
          <cell r="A648">
            <v>0.64400000000000002</v>
          </cell>
          <cell r="E648">
            <v>64.400000000000006</v>
          </cell>
        </row>
        <row r="649">
          <cell r="A649">
            <v>0.64500000000000002</v>
          </cell>
          <cell r="E649">
            <v>64.5</v>
          </cell>
        </row>
        <row r="650">
          <cell r="A650">
            <v>0.64600000000000002</v>
          </cell>
          <cell r="E650">
            <v>64.599999999999994</v>
          </cell>
        </row>
        <row r="651">
          <cell r="A651">
            <v>0.64700000000000002</v>
          </cell>
          <cell r="E651">
            <v>64.7</v>
          </cell>
        </row>
        <row r="652">
          <cell r="A652">
            <v>0.64800000000000002</v>
          </cell>
          <cell r="E652">
            <v>64.8</v>
          </cell>
        </row>
        <row r="653">
          <cell r="A653">
            <v>0.64900000000000002</v>
          </cell>
          <cell r="E653">
            <v>64.900000000000006</v>
          </cell>
        </row>
        <row r="654">
          <cell r="A654">
            <v>0.65</v>
          </cell>
          <cell r="E654">
            <v>65</v>
          </cell>
        </row>
        <row r="655">
          <cell r="A655">
            <v>0.65100000000000002</v>
          </cell>
          <cell r="E655">
            <v>65.099999999999994</v>
          </cell>
        </row>
        <row r="656">
          <cell r="A656">
            <v>0.65200000000000002</v>
          </cell>
          <cell r="E656">
            <v>65.2</v>
          </cell>
        </row>
        <row r="657">
          <cell r="A657">
            <v>0.65300000000000002</v>
          </cell>
          <cell r="E657">
            <v>65.3</v>
          </cell>
        </row>
        <row r="658">
          <cell r="A658">
            <v>0.65400000000000003</v>
          </cell>
          <cell r="E658">
            <v>65.400000000000006</v>
          </cell>
        </row>
        <row r="659">
          <cell r="A659">
            <v>0.65500000000000003</v>
          </cell>
          <cell r="E659">
            <v>65.5</v>
          </cell>
        </row>
        <row r="660">
          <cell r="A660">
            <v>0.65600000000000003</v>
          </cell>
          <cell r="E660">
            <v>65.599999999999994</v>
          </cell>
        </row>
        <row r="661">
          <cell r="A661">
            <v>0.65700000000000003</v>
          </cell>
          <cell r="E661">
            <v>65.7</v>
          </cell>
        </row>
        <row r="662">
          <cell r="A662">
            <v>0.65800000000000003</v>
          </cell>
          <cell r="E662">
            <v>65.8</v>
          </cell>
        </row>
        <row r="663">
          <cell r="A663">
            <v>0.65900000000000003</v>
          </cell>
          <cell r="E663">
            <v>65.900000000000006</v>
          </cell>
        </row>
        <row r="664">
          <cell r="A664">
            <v>0.66</v>
          </cell>
          <cell r="E664">
            <v>66</v>
          </cell>
        </row>
        <row r="665">
          <cell r="A665">
            <v>0.66100000000000003</v>
          </cell>
          <cell r="E665">
            <v>66.099999999999994</v>
          </cell>
        </row>
        <row r="666">
          <cell r="A666">
            <v>0.66200000000000003</v>
          </cell>
          <cell r="E666">
            <v>66.2</v>
          </cell>
        </row>
        <row r="667">
          <cell r="A667">
            <v>0.66300000000000003</v>
          </cell>
          <cell r="E667">
            <v>66.3</v>
          </cell>
        </row>
        <row r="668">
          <cell r="A668">
            <v>0.66400000000000003</v>
          </cell>
          <cell r="E668">
            <v>66.400000000000006</v>
          </cell>
        </row>
        <row r="669">
          <cell r="A669">
            <v>0.66500000000000004</v>
          </cell>
          <cell r="E669">
            <v>66.5</v>
          </cell>
        </row>
        <row r="670">
          <cell r="A670">
            <v>0.66600000000000004</v>
          </cell>
          <cell r="E670">
            <v>66.599999999999994</v>
          </cell>
        </row>
        <row r="671">
          <cell r="A671">
            <v>0.66700000000000004</v>
          </cell>
          <cell r="E671">
            <v>66.7</v>
          </cell>
        </row>
        <row r="672">
          <cell r="A672">
            <v>0.66800000000000004</v>
          </cell>
          <cell r="E672">
            <v>66.8</v>
          </cell>
        </row>
        <row r="673">
          <cell r="A673">
            <v>0.66900000000000004</v>
          </cell>
          <cell r="E673">
            <v>66.900000000000006</v>
          </cell>
        </row>
        <row r="674">
          <cell r="A674">
            <v>0.67</v>
          </cell>
          <cell r="E674">
            <v>67</v>
          </cell>
        </row>
        <row r="675">
          <cell r="A675">
            <v>0.67100000000000004</v>
          </cell>
          <cell r="E675">
            <v>67.099999999999994</v>
          </cell>
        </row>
        <row r="676">
          <cell r="A676">
            <v>0.67200000000000004</v>
          </cell>
          <cell r="E676">
            <v>67.2</v>
          </cell>
        </row>
        <row r="677">
          <cell r="A677">
            <v>0.67300000000000004</v>
          </cell>
          <cell r="E677">
            <v>67.3</v>
          </cell>
        </row>
        <row r="678">
          <cell r="A678">
            <v>0.67400000000000004</v>
          </cell>
          <cell r="E678">
            <v>67.400000000000006</v>
          </cell>
        </row>
        <row r="679">
          <cell r="A679">
            <v>0.67500000000000004</v>
          </cell>
          <cell r="E679">
            <v>67.5</v>
          </cell>
        </row>
        <row r="680">
          <cell r="A680">
            <v>0.67600000000000005</v>
          </cell>
          <cell r="E680">
            <v>67.599999999999994</v>
          </cell>
        </row>
        <row r="681">
          <cell r="A681">
            <v>0.67700000000000005</v>
          </cell>
          <cell r="E681">
            <v>67.7</v>
          </cell>
        </row>
        <row r="682">
          <cell r="A682">
            <v>0.67800000000000005</v>
          </cell>
          <cell r="E682">
            <v>67.8</v>
          </cell>
        </row>
        <row r="683">
          <cell r="A683">
            <v>0.67900000000000005</v>
          </cell>
          <cell r="E683">
            <v>67.900000000000006</v>
          </cell>
        </row>
        <row r="684">
          <cell r="A684">
            <v>0.68</v>
          </cell>
          <cell r="E684">
            <v>68</v>
          </cell>
        </row>
        <row r="685">
          <cell r="A685">
            <v>0.68100000000000005</v>
          </cell>
          <cell r="E685">
            <v>68.099999999999994</v>
          </cell>
        </row>
        <row r="686">
          <cell r="A686">
            <v>0.68200000000000005</v>
          </cell>
          <cell r="E686">
            <v>68.2</v>
          </cell>
        </row>
        <row r="687">
          <cell r="A687">
            <v>0.68300000000000005</v>
          </cell>
          <cell r="E687">
            <v>68.3</v>
          </cell>
        </row>
        <row r="688">
          <cell r="A688">
            <v>0.68400000000000005</v>
          </cell>
          <cell r="E688">
            <v>68.400000000000006</v>
          </cell>
        </row>
        <row r="689">
          <cell r="A689">
            <v>0.68500000000000005</v>
          </cell>
          <cell r="E689">
            <v>68.5</v>
          </cell>
        </row>
        <row r="690">
          <cell r="A690">
            <v>0.68600000000000005</v>
          </cell>
          <cell r="E690">
            <v>68.599999999999994</v>
          </cell>
        </row>
        <row r="691">
          <cell r="A691">
            <v>0.68700000000000006</v>
          </cell>
          <cell r="E691">
            <v>68.7</v>
          </cell>
        </row>
        <row r="692">
          <cell r="A692">
            <v>0.68799999999999994</v>
          </cell>
          <cell r="E692">
            <v>68.8</v>
          </cell>
        </row>
        <row r="693">
          <cell r="A693">
            <v>0.68899999999999995</v>
          </cell>
          <cell r="E693">
            <v>68.900000000000006</v>
          </cell>
        </row>
        <row r="694">
          <cell r="A694">
            <v>0.69</v>
          </cell>
          <cell r="E694">
            <v>69</v>
          </cell>
        </row>
        <row r="695">
          <cell r="A695">
            <v>0.69099999999999995</v>
          </cell>
          <cell r="E695">
            <v>69.099999999999994</v>
          </cell>
        </row>
        <row r="696">
          <cell r="A696">
            <v>0.69199999999999995</v>
          </cell>
          <cell r="E696">
            <v>69.2</v>
          </cell>
        </row>
        <row r="697">
          <cell r="A697">
            <v>0.69299999999999995</v>
          </cell>
          <cell r="E697">
            <v>69.3</v>
          </cell>
        </row>
        <row r="698">
          <cell r="A698">
            <v>0.69399999999999995</v>
          </cell>
          <cell r="E698">
            <v>69.400000000000006</v>
          </cell>
        </row>
        <row r="699">
          <cell r="A699">
            <v>0.69499999999999995</v>
          </cell>
          <cell r="E699">
            <v>69.5</v>
          </cell>
        </row>
        <row r="700">
          <cell r="A700">
            <v>0.69599999999999995</v>
          </cell>
          <cell r="E700">
            <v>69.599999999999994</v>
          </cell>
        </row>
        <row r="701">
          <cell r="A701">
            <v>0.69699999999999995</v>
          </cell>
          <cell r="E701">
            <v>69.7</v>
          </cell>
        </row>
        <row r="702">
          <cell r="A702">
            <v>0.69799999999999995</v>
          </cell>
          <cell r="E702">
            <v>69.8</v>
          </cell>
        </row>
        <row r="703">
          <cell r="A703">
            <v>0.69899999999999995</v>
          </cell>
          <cell r="E703">
            <v>69.900000000000006</v>
          </cell>
        </row>
        <row r="704">
          <cell r="A704">
            <v>0.7</v>
          </cell>
          <cell r="E704">
            <v>70</v>
          </cell>
        </row>
        <row r="705">
          <cell r="A705">
            <v>0.70099999999999996</v>
          </cell>
          <cell r="E705">
            <v>70.099999999999994</v>
          </cell>
        </row>
        <row r="706">
          <cell r="A706">
            <v>0.70199999999999996</v>
          </cell>
          <cell r="E706">
            <v>70.2</v>
          </cell>
        </row>
        <row r="707">
          <cell r="A707">
            <v>0.70299999999999996</v>
          </cell>
          <cell r="E707">
            <v>70.3</v>
          </cell>
        </row>
        <row r="708">
          <cell r="A708">
            <v>0.70399999999999996</v>
          </cell>
          <cell r="E708">
            <v>70.400000000000006</v>
          </cell>
        </row>
        <row r="709">
          <cell r="A709">
            <v>0.70499999999999996</v>
          </cell>
          <cell r="E709">
            <v>70.5</v>
          </cell>
        </row>
        <row r="710">
          <cell r="A710">
            <v>0.70599999999999996</v>
          </cell>
          <cell r="E710">
            <v>70.599999999999994</v>
          </cell>
        </row>
        <row r="711">
          <cell r="A711">
            <v>0.70699999999999996</v>
          </cell>
          <cell r="E711">
            <v>70.7</v>
          </cell>
        </row>
        <row r="712">
          <cell r="A712">
            <v>0.70799999999999996</v>
          </cell>
          <cell r="E712">
            <v>70.8</v>
          </cell>
        </row>
        <row r="713">
          <cell r="A713">
            <v>0.70899999999999996</v>
          </cell>
          <cell r="E713">
            <v>70.900000000000006</v>
          </cell>
        </row>
        <row r="714">
          <cell r="A714">
            <v>0.71</v>
          </cell>
          <cell r="E714">
            <v>71</v>
          </cell>
        </row>
        <row r="715">
          <cell r="A715">
            <v>0.71099999999999997</v>
          </cell>
          <cell r="E715">
            <v>71.099999999999994</v>
          </cell>
        </row>
        <row r="716">
          <cell r="A716">
            <v>0.71199999999999997</v>
          </cell>
          <cell r="E716">
            <v>71.2</v>
          </cell>
        </row>
        <row r="717">
          <cell r="A717">
            <v>0.71299999999999997</v>
          </cell>
          <cell r="E717">
            <v>71.3</v>
          </cell>
        </row>
        <row r="718">
          <cell r="A718">
            <v>0.71399999999999997</v>
          </cell>
          <cell r="E718">
            <v>71.400000000000006</v>
          </cell>
        </row>
        <row r="719">
          <cell r="A719">
            <v>0.71499999999999997</v>
          </cell>
          <cell r="E719">
            <v>71.5</v>
          </cell>
        </row>
        <row r="720">
          <cell r="A720">
            <v>0.71599999999999997</v>
          </cell>
          <cell r="E720">
            <v>71.599999999999994</v>
          </cell>
        </row>
        <row r="721">
          <cell r="A721">
            <v>0.71699999999999997</v>
          </cell>
          <cell r="E721">
            <v>71.7</v>
          </cell>
        </row>
        <row r="722">
          <cell r="A722">
            <v>0.71799999999999997</v>
          </cell>
          <cell r="E722">
            <v>71.8</v>
          </cell>
        </row>
        <row r="723">
          <cell r="A723">
            <v>0.71899999999999997</v>
          </cell>
          <cell r="E723">
            <v>71.900000000000006</v>
          </cell>
        </row>
        <row r="724">
          <cell r="A724">
            <v>0.72</v>
          </cell>
          <cell r="E724">
            <v>72</v>
          </cell>
        </row>
        <row r="725">
          <cell r="A725">
            <v>0.72099999999999997</v>
          </cell>
          <cell r="E725">
            <v>72.099999999999994</v>
          </cell>
        </row>
        <row r="726">
          <cell r="A726">
            <v>0.72199999999999998</v>
          </cell>
          <cell r="E726">
            <v>72.2</v>
          </cell>
        </row>
        <row r="727">
          <cell r="A727">
            <v>0.72299999999999998</v>
          </cell>
          <cell r="E727">
            <v>72.3</v>
          </cell>
        </row>
        <row r="728">
          <cell r="A728">
            <v>0.72399999999999998</v>
          </cell>
          <cell r="E728">
            <v>72.400000000000006</v>
          </cell>
        </row>
        <row r="729">
          <cell r="A729">
            <v>0.72499999999999998</v>
          </cell>
          <cell r="E729">
            <v>72.5</v>
          </cell>
        </row>
        <row r="730">
          <cell r="A730">
            <v>0.72599999999999998</v>
          </cell>
          <cell r="E730">
            <v>72.599999999999994</v>
          </cell>
        </row>
        <row r="731">
          <cell r="A731">
            <v>0.72699999999999998</v>
          </cell>
          <cell r="E731">
            <v>72.7</v>
          </cell>
        </row>
        <row r="732">
          <cell r="A732">
            <v>0.72799999999999998</v>
          </cell>
          <cell r="E732">
            <v>72.8</v>
          </cell>
        </row>
        <row r="733">
          <cell r="A733">
            <v>0.72899999999999998</v>
          </cell>
          <cell r="E733">
            <v>72.900000000000006</v>
          </cell>
        </row>
        <row r="734">
          <cell r="A734">
            <v>0.73</v>
          </cell>
          <cell r="E734">
            <v>73</v>
          </cell>
        </row>
        <row r="735">
          <cell r="A735">
            <v>0.73099999999999998</v>
          </cell>
          <cell r="E735">
            <v>73.099999999999994</v>
          </cell>
        </row>
        <row r="736">
          <cell r="A736">
            <v>0.73199999999999998</v>
          </cell>
          <cell r="E736">
            <v>73.2</v>
          </cell>
        </row>
        <row r="737">
          <cell r="A737">
            <v>0.73299999999999998</v>
          </cell>
          <cell r="E737">
            <v>73.3</v>
          </cell>
        </row>
        <row r="738">
          <cell r="A738">
            <v>0.73399999999999999</v>
          </cell>
          <cell r="E738">
            <v>73.400000000000006</v>
          </cell>
        </row>
        <row r="739">
          <cell r="A739">
            <v>0.73499999999999999</v>
          </cell>
          <cell r="E739">
            <v>73.5</v>
          </cell>
        </row>
        <row r="740">
          <cell r="A740">
            <v>0.73599999999999999</v>
          </cell>
          <cell r="E740">
            <v>73.599999999999994</v>
          </cell>
        </row>
        <row r="741">
          <cell r="A741">
            <v>0.73699999999999999</v>
          </cell>
          <cell r="E741">
            <v>73.7</v>
          </cell>
        </row>
        <row r="742">
          <cell r="A742">
            <v>0.73799999999999999</v>
          </cell>
          <cell r="E742">
            <v>73.8</v>
          </cell>
        </row>
        <row r="743">
          <cell r="A743">
            <v>0.73899999999999999</v>
          </cell>
          <cell r="E743">
            <v>73.900000000000006</v>
          </cell>
        </row>
        <row r="744">
          <cell r="A744">
            <v>0.74</v>
          </cell>
          <cell r="E744">
            <v>74</v>
          </cell>
        </row>
        <row r="745">
          <cell r="A745">
            <v>0.74099999999999999</v>
          </cell>
          <cell r="E745">
            <v>74.099999999999994</v>
          </cell>
        </row>
        <row r="746">
          <cell r="A746">
            <v>0.74199999999999999</v>
          </cell>
          <cell r="E746">
            <v>74.2</v>
          </cell>
        </row>
        <row r="747">
          <cell r="A747">
            <v>0.74299999999999999</v>
          </cell>
          <cell r="E747">
            <v>74.3</v>
          </cell>
        </row>
        <row r="748">
          <cell r="A748">
            <v>0.74399999999999999</v>
          </cell>
          <cell r="E748">
            <v>74.400000000000006</v>
          </cell>
        </row>
        <row r="749">
          <cell r="A749">
            <v>0.745</v>
          </cell>
          <cell r="E749">
            <v>74.5</v>
          </cell>
        </row>
        <row r="750">
          <cell r="A750">
            <v>0.746</v>
          </cell>
          <cell r="E750">
            <v>74.599999999999994</v>
          </cell>
        </row>
        <row r="751">
          <cell r="A751">
            <v>0.747</v>
          </cell>
          <cell r="E751">
            <v>74.7</v>
          </cell>
        </row>
        <row r="752">
          <cell r="A752">
            <v>0.748</v>
          </cell>
          <cell r="E752">
            <v>74.8</v>
          </cell>
        </row>
        <row r="753">
          <cell r="A753">
            <v>0.749</v>
          </cell>
          <cell r="E753">
            <v>74.900000000000006</v>
          </cell>
        </row>
        <row r="754">
          <cell r="A754">
            <v>0.75</v>
          </cell>
          <cell r="E754">
            <v>75</v>
          </cell>
        </row>
        <row r="755">
          <cell r="A755">
            <v>0.751</v>
          </cell>
          <cell r="E755">
            <v>75.099999999999994</v>
          </cell>
        </row>
        <row r="756">
          <cell r="A756">
            <v>0.752</v>
          </cell>
          <cell r="E756">
            <v>75.2</v>
          </cell>
        </row>
        <row r="757">
          <cell r="A757">
            <v>0.753</v>
          </cell>
          <cell r="E757">
            <v>75.3</v>
          </cell>
        </row>
        <row r="758">
          <cell r="A758">
            <v>0.754</v>
          </cell>
          <cell r="E758">
            <v>75.400000000000006</v>
          </cell>
        </row>
        <row r="759">
          <cell r="A759">
            <v>0.755</v>
          </cell>
          <cell r="E759">
            <v>75.5</v>
          </cell>
        </row>
        <row r="760">
          <cell r="A760">
            <v>0.75600000000000001</v>
          </cell>
          <cell r="E760">
            <v>75.599999999999994</v>
          </cell>
        </row>
        <row r="761">
          <cell r="A761">
            <v>0.75700000000000001</v>
          </cell>
          <cell r="E761">
            <v>75.7</v>
          </cell>
        </row>
        <row r="762">
          <cell r="A762">
            <v>0.75800000000000001</v>
          </cell>
          <cell r="E762">
            <v>75.8</v>
          </cell>
        </row>
        <row r="763">
          <cell r="A763">
            <v>0.75900000000000001</v>
          </cell>
          <cell r="E763">
            <v>75.900000000000006</v>
          </cell>
        </row>
        <row r="764">
          <cell r="A764">
            <v>0.76</v>
          </cell>
          <cell r="E764">
            <v>76</v>
          </cell>
        </row>
        <row r="765">
          <cell r="A765">
            <v>0.76100000000000001</v>
          </cell>
          <cell r="E765">
            <v>76.099999999999994</v>
          </cell>
        </row>
        <row r="766">
          <cell r="A766">
            <v>0.76200000000000001</v>
          </cell>
          <cell r="E766">
            <v>76.2</v>
          </cell>
        </row>
        <row r="767">
          <cell r="A767">
            <v>0.76300000000000001</v>
          </cell>
          <cell r="E767">
            <v>76.3</v>
          </cell>
        </row>
        <row r="768">
          <cell r="A768">
            <v>0.76400000000000001</v>
          </cell>
          <cell r="E768">
            <v>76.400000000000006</v>
          </cell>
        </row>
        <row r="769">
          <cell r="A769">
            <v>0.76500000000000001</v>
          </cell>
          <cell r="E769">
            <v>76.5</v>
          </cell>
        </row>
        <row r="770">
          <cell r="A770">
            <v>0.76600000000000001</v>
          </cell>
          <cell r="E770">
            <v>76.599999999999994</v>
          </cell>
        </row>
        <row r="771">
          <cell r="A771">
            <v>0.76700000000000002</v>
          </cell>
          <cell r="E771">
            <v>76.7</v>
          </cell>
        </row>
        <row r="772">
          <cell r="A772">
            <v>0.76800000000000002</v>
          </cell>
          <cell r="E772">
            <v>76.8</v>
          </cell>
        </row>
        <row r="773">
          <cell r="A773">
            <v>0.76900000000000002</v>
          </cell>
          <cell r="E773">
            <v>76.900000000000006</v>
          </cell>
        </row>
        <row r="774">
          <cell r="A774">
            <v>0.77</v>
          </cell>
          <cell r="E774">
            <v>77</v>
          </cell>
        </row>
        <row r="775">
          <cell r="A775">
            <v>0.77100000000000002</v>
          </cell>
          <cell r="E775">
            <v>77.099999999999994</v>
          </cell>
        </row>
        <row r="776">
          <cell r="A776">
            <v>0.77200000000000002</v>
          </cell>
          <cell r="E776">
            <v>77.2</v>
          </cell>
        </row>
        <row r="777">
          <cell r="A777">
            <v>0.77300000000000002</v>
          </cell>
          <cell r="E777">
            <v>77.3</v>
          </cell>
        </row>
        <row r="778">
          <cell r="A778">
            <v>0.77400000000000002</v>
          </cell>
          <cell r="E778">
            <v>77.400000000000006</v>
          </cell>
        </row>
        <row r="779">
          <cell r="A779">
            <v>0.77500000000000002</v>
          </cell>
          <cell r="E779">
            <v>77.5</v>
          </cell>
        </row>
        <row r="780">
          <cell r="A780">
            <v>0.77600000000000002</v>
          </cell>
          <cell r="E780">
            <v>77.599999999999994</v>
          </cell>
        </row>
        <row r="781">
          <cell r="A781">
            <v>0.77700000000000002</v>
          </cell>
          <cell r="E781">
            <v>77.7</v>
          </cell>
        </row>
        <row r="782">
          <cell r="A782">
            <v>0.77800000000000002</v>
          </cell>
          <cell r="E782">
            <v>77.8</v>
          </cell>
        </row>
        <row r="783">
          <cell r="A783">
            <v>0.77900000000000003</v>
          </cell>
          <cell r="E783">
            <v>77.900000000000006</v>
          </cell>
        </row>
        <row r="784">
          <cell r="A784">
            <v>0.78</v>
          </cell>
          <cell r="E784">
            <v>78</v>
          </cell>
        </row>
        <row r="785">
          <cell r="A785">
            <v>0.78100000000000003</v>
          </cell>
          <cell r="E785">
            <v>78.099999999999994</v>
          </cell>
        </row>
        <row r="786">
          <cell r="A786">
            <v>0.78200000000000003</v>
          </cell>
          <cell r="E786">
            <v>78.2</v>
          </cell>
        </row>
        <row r="787">
          <cell r="A787">
            <v>0.78300000000000003</v>
          </cell>
          <cell r="E787">
            <v>78.3</v>
          </cell>
        </row>
        <row r="788">
          <cell r="A788">
            <v>0.78400000000000003</v>
          </cell>
          <cell r="E788">
            <v>78.400000000000006</v>
          </cell>
        </row>
        <row r="789">
          <cell r="A789">
            <v>0.78500000000000003</v>
          </cell>
          <cell r="E789">
            <v>78.5</v>
          </cell>
        </row>
        <row r="790">
          <cell r="A790">
            <v>0.78600000000000003</v>
          </cell>
          <cell r="E790">
            <v>78.599999999999994</v>
          </cell>
        </row>
        <row r="791">
          <cell r="A791">
            <v>0.78700000000000003</v>
          </cell>
          <cell r="E791">
            <v>78.7</v>
          </cell>
        </row>
        <row r="792">
          <cell r="A792">
            <v>0.78800000000000003</v>
          </cell>
          <cell r="E792">
            <v>78.8</v>
          </cell>
        </row>
        <row r="793">
          <cell r="A793">
            <v>0.78900000000000003</v>
          </cell>
          <cell r="E793">
            <v>78.900000000000006</v>
          </cell>
        </row>
        <row r="794">
          <cell r="A794">
            <v>0.79</v>
          </cell>
          <cell r="E794">
            <v>79</v>
          </cell>
        </row>
        <row r="795">
          <cell r="A795">
            <v>0.79100000000000004</v>
          </cell>
          <cell r="E795">
            <v>79.099999999999994</v>
          </cell>
        </row>
        <row r="796">
          <cell r="A796">
            <v>0.79200000000000004</v>
          </cell>
          <cell r="E796">
            <v>79.2</v>
          </cell>
        </row>
        <row r="797">
          <cell r="A797">
            <v>0.79300000000000004</v>
          </cell>
          <cell r="E797">
            <v>79.3</v>
          </cell>
        </row>
        <row r="798">
          <cell r="A798">
            <v>0.79400000000000004</v>
          </cell>
          <cell r="E798">
            <v>79.400000000000006</v>
          </cell>
        </row>
        <row r="799">
          <cell r="A799">
            <v>0.79500000000000004</v>
          </cell>
          <cell r="E799">
            <v>79.5</v>
          </cell>
        </row>
        <row r="800">
          <cell r="A800">
            <v>0.79600000000000004</v>
          </cell>
          <cell r="E800">
            <v>79.599999999999994</v>
          </cell>
        </row>
        <row r="801">
          <cell r="A801">
            <v>0.79700000000000004</v>
          </cell>
          <cell r="E801">
            <v>79.7</v>
          </cell>
        </row>
        <row r="802">
          <cell r="A802">
            <v>0.79800000000000004</v>
          </cell>
          <cell r="E802">
            <v>79.8</v>
          </cell>
        </row>
        <row r="803">
          <cell r="A803">
            <v>0.79900000000000004</v>
          </cell>
          <cell r="E803">
            <v>79.900000000000006</v>
          </cell>
        </row>
        <row r="804">
          <cell r="A804">
            <v>0.8</v>
          </cell>
          <cell r="E804">
            <v>80</v>
          </cell>
        </row>
        <row r="805">
          <cell r="A805">
            <v>0.80100000000000005</v>
          </cell>
          <cell r="E805">
            <v>80.099999999999994</v>
          </cell>
        </row>
        <row r="806">
          <cell r="A806">
            <v>0.80200000000000005</v>
          </cell>
          <cell r="E806">
            <v>80.2</v>
          </cell>
        </row>
        <row r="807">
          <cell r="A807">
            <v>0.80300000000000005</v>
          </cell>
          <cell r="E807">
            <v>80.3</v>
          </cell>
        </row>
        <row r="808">
          <cell r="A808">
            <v>0.80400000000000005</v>
          </cell>
          <cell r="E808">
            <v>80.400000000000006</v>
          </cell>
        </row>
        <row r="809">
          <cell r="A809">
            <v>0.80500000000000005</v>
          </cell>
          <cell r="E809">
            <v>80.5</v>
          </cell>
        </row>
        <row r="810">
          <cell r="A810">
            <v>0.80600000000000005</v>
          </cell>
          <cell r="E810">
            <v>80.599999999999994</v>
          </cell>
        </row>
        <row r="811">
          <cell r="A811">
            <v>0.80700000000000005</v>
          </cell>
          <cell r="E811">
            <v>80.7</v>
          </cell>
        </row>
        <row r="812">
          <cell r="A812">
            <v>0.80800000000000005</v>
          </cell>
          <cell r="E812">
            <v>80.8</v>
          </cell>
        </row>
        <row r="813">
          <cell r="A813">
            <v>0.80900000000000005</v>
          </cell>
          <cell r="E813">
            <v>80.900000000000006</v>
          </cell>
        </row>
        <row r="814">
          <cell r="A814">
            <v>0.81</v>
          </cell>
          <cell r="E814">
            <v>81</v>
          </cell>
        </row>
        <row r="815">
          <cell r="A815">
            <v>0.81100000000000005</v>
          </cell>
          <cell r="E815">
            <v>81.099999999999994</v>
          </cell>
        </row>
        <row r="816">
          <cell r="A816">
            <v>0.81200000000000006</v>
          </cell>
          <cell r="E816">
            <v>81.2</v>
          </cell>
        </row>
        <row r="817">
          <cell r="A817">
            <v>0.81299999999999994</v>
          </cell>
          <cell r="E817">
            <v>81.3</v>
          </cell>
        </row>
        <row r="818">
          <cell r="A818">
            <v>0.81399999999999995</v>
          </cell>
          <cell r="E818">
            <v>81.400000000000006</v>
          </cell>
        </row>
        <row r="819">
          <cell r="A819">
            <v>0.81499999999999995</v>
          </cell>
          <cell r="E819">
            <v>81.5</v>
          </cell>
        </row>
        <row r="820">
          <cell r="A820">
            <v>0.81599999999999995</v>
          </cell>
          <cell r="E820">
            <v>81.599999999999994</v>
          </cell>
        </row>
        <row r="821">
          <cell r="A821">
            <v>0.81699999999999995</v>
          </cell>
          <cell r="E821">
            <v>81.7</v>
          </cell>
        </row>
        <row r="822">
          <cell r="A822">
            <v>0.81799999999999995</v>
          </cell>
          <cell r="E822">
            <v>81.8</v>
          </cell>
        </row>
        <row r="823">
          <cell r="A823">
            <v>0.81899999999999995</v>
          </cell>
          <cell r="E823">
            <v>81.900000000000006</v>
          </cell>
        </row>
        <row r="824">
          <cell r="A824">
            <v>0.82</v>
          </cell>
          <cell r="E824">
            <v>82</v>
          </cell>
        </row>
        <row r="825">
          <cell r="A825">
            <v>0.82099999999999995</v>
          </cell>
          <cell r="E825">
            <v>82.1</v>
          </cell>
        </row>
        <row r="826">
          <cell r="A826">
            <v>0.82199999999999995</v>
          </cell>
          <cell r="E826">
            <v>82.2</v>
          </cell>
        </row>
        <row r="827">
          <cell r="A827">
            <v>0.82299999999999995</v>
          </cell>
          <cell r="E827">
            <v>82.3</v>
          </cell>
        </row>
        <row r="828">
          <cell r="A828">
            <v>0.82399999999999995</v>
          </cell>
          <cell r="E828">
            <v>82.4</v>
          </cell>
        </row>
        <row r="829">
          <cell r="A829">
            <v>0.82499999999999996</v>
          </cell>
          <cell r="E829">
            <v>82.5</v>
          </cell>
        </row>
        <row r="830">
          <cell r="A830">
            <v>0.82599999999999996</v>
          </cell>
          <cell r="E830">
            <v>82.6</v>
          </cell>
        </row>
        <row r="831">
          <cell r="A831">
            <v>0.82699999999999996</v>
          </cell>
          <cell r="E831">
            <v>82.7</v>
          </cell>
        </row>
        <row r="832">
          <cell r="A832">
            <v>0.82799999999999996</v>
          </cell>
          <cell r="E832">
            <v>82.8</v>
          </cell>
        </row>
        <row r="833">
          <cell r="A833">
            <v>0.82899999999999996</v>
          </cell>
          <cell r="E833">
            <v>82.9</v>
          </cell>
        </row>
        <row r="834">
          <cell r="A834">
            <v>0.83</v>
          </cell>
          <cell r="E834">
            <v>83</v>
          </cell>
        </row>
        <row r="835">
          <cell r="A835">
            <v>0.83099999999999996</v>
          </cell>
          <cell r="E835">
            <v>83.1</v>
          </cell>
        </row>
        <row r="836">
          <cell r="A836">
            <v>0.83199999999999996</v>
          </cell>
          <cell r="E836">
            <v>83.2</v>
          </cell>
        </row>
        <row r="837">
          <cell r="A837">
            <v>0.83299999999999996</v>
          </cell>
          <cell r="E837">
            <v>83.3</v>
          </cell>
        </row>
        <row r="838">
          <cell r="A838">
            <v>0.83399999999999996</v>
          </cell>
          <cell r="E838">
            <v>83.4</v>
          </cell>
        </row>
        <row r="839">
          <cell r="A839">
            <v>0.83499999999999996</v>
          </cell>
          <cell r="E839">
            <v>83.5</v>
          </cell>
        </row>
        <row r="840">
          <cell r="A840">
            <v>0.83599999999999997</v>
          </cell>
          <cell r="E840">
            <v>83.6</v>
          </cell>
        </row>
        <row r="841">
          <cell r="A841">
            <v>0.83699999999999997</v>
          </cell>
          <cell r="E841">
            <v>83.7</v>
          </cell>
        </row>
        <row r="842">
          <cell r="A842">
            <v>0.83799999999999997</v>
          </cell>
          <cell r="E842">
            <v>83.8</v>
          </cell>
        </row>
        <row r="843">
          <cell r="A843">
            <v>0.83899999999999997</v>
          </cell>
          <cell r="E843">
            <v>83.9</v>
          </cell>
        </row>
        <row r="844">
          <cell r="A844">
            <v>0.84</v>
          </cell>
          <cell r="E844">
            <v>84</v>
          </cell>
        </row>
        <row r="845">
          <cell r="A845">
            <v>0.84099999999999997</v>
          </cell>
          <cell r="E845">
            <v>84.1</v>
          </cell>
        </row>
        <row r="846">
          <cell r="A846">
            <v>0.84199999999999997</v>
          </cell>
          <cell r="E846">
            <v>84.2</v>
          </cell>
        </row>
        <row r="847">
          <cell r="A847">
            <v>0.84299999999999997</v>
          </cell>
          <cell r="E847">
            <v>84.3</v>
          </cell>
        </row>
        <row r="848">
          <cell r="A848">
            <v>0.84399999999999997</v>
          </cell>
          <cell r="E848">
            <v>84.4</v>
          </cell>
        </row>
        <row r="849">
          <cell r="A849">
            <v>0.84499999999999997</v>
          </cell>
          <cell r="E849">
            <v>84.5</v>
          </cell>
        </row>
        <row r="850">
          <cell r="A850">
            <v>0.84599999999999997</v>
          </cell>
          <cell r="E850">
            <v>84.6</v>
          </cell>
        </row>
        <row r="851">
          <cell r="A851">
            <v>0.84699999999999998</v>
          </cell>
          <cell r="E851">
            <v>84.7</v>
          </cell>
        </row>
        <row r="852">
          <cell r="A852">
            <v>0.84799999999999998</v>
          </cell>
          <cell r="E852">
            <v>84.8</v>
          </cell>
        </row>
        <row r="853">
          <cell r="A853">
            <v>0.84899999999999998</v>
          </cell>
          <cell r="E853">
            <v>84.9</v>
          </cell>
        </row>
        <row r="854">
          <cell r="A854">
            <v>0.85</v>
          </cell>
          <cell r="E854">
            <v>85</v>
          </cell>
        </row>
        <row r="855">
          <cell r="A855">
            <v>0.85099999999999998</v>
          </cell>
          <cell r="E855">
            <v>85.1</v>
          </cell>
        </row>
        <row r="856">
          <cell r="A856">
            <v>0.85199999999999998</v>
          </cell>
          <cell r="E856">
            <v>85.2</v>
          </cell>
        </row>
        <row r="857">
          <cell r="A857">
            <v>0.85299999999999998</v>
          </cell>
          <cell r="E857">
            <v>85.3</v>
          </cell>
        </row>
        <row r="858">
          <cell r="A858">
            <v>0.85399999999999998</v>
          </cell>
          <cell r="E858">
            <v>85.4</v>
          </cell>
        </row>
        <row r="859">
          <cell r="A859">
            <v>0.85499999999999998</v>
          </cell>
          <cell r="E859">
            <v>85.5</v>
          </cell>
        </row>
        <row r="860">
          <cell r="A860">
            <v>0.85599999999999998</v>
          </cell>
          <cell r="E860">
            <v>85.6</v>
          </cell>
        </row>
        <row r="861">
          <cell r="A861">
            <v>0.85699999999999998</v>
          </cell>
          <cell r="E861">
            <v>85.7</v>
          </cell>
        </row>
        <row r="862">
          <cell r="A862">
            <v>0.85799999999999998</v>
          </cell>
          <cell r="E862">
            <v>85.8</v>
          </cell>
        </row>
        <row r="863">
          <cell r="A863">
            <v>0.85899999999999999</v>
          </cell>
          <cell r="E863">
            <v>85.9</v>
          </cell>
        </row>
        <row r="864">
          <cell r="A864">
            <v>0.86</v>
          </cell>
          <cell r="E864">
            <v>86</v>
          </cell>
        </row>
        <row r="865">
          <cell r="A865">
            <v>0.86099999999999999</v>
          </cell>
          <cell r="E865">
            <v>86.1</v>
          </cell>
        </row>
        <row r="866">
          <cell r="A866">
            <v>0.86199999999999999</v>
          </cell>
          <cell r="E866">
            <v>86.2</v>
          </cell>
        </row>
        <row r="867">
          <cell r="A867">
            <v>0.86299999999999999</v>
          </cell>
          <cell r="E867">
            <v>86.3</v>
          </cell>
        </row>
        <row r="868">
          <cell r="A868">
            <v>0.86399999999999999</v>
          </cell>
          <cell r="E868">
            <v>86.4</v>
          </cell>
        </row>
        <row r="869">
          <cell r="A869">
            <v>0.86499999999999999</v>
          </cell>
          <cell r="E869">
            <v>86.5</v>
          </cell>
        </row>
        <row r="870">
          <cell r="A870">
            <v>0.86599999999999999</v>
          </cell>
          <cell r="E870">
            <v>86.6</v>
          </cell>
        </row>
        <row r="871">
          <cell r="A871">
            <v>0.86699999999999999</v>
          </cell>
          <cell r="E871">
            <v>86.7</v>
          </cell>
        </row>
        <row r="872">
          <cell r="A872">
            <v>0.86799999999999999</v>
          </cell>
          <cell r="E872">
            <v>86.8</v>
          </cell>
        </row>
        <row r="873">
          <cell r="A873">
            <v>0.86899999999999999</v>
          </cell>
          <cell r="E873">
            <v>86.9</v>
          </cell>
        </row>
        <row r="874">
          <cell r="A874">
            <v>0.87</v>
          </cell>
          <cell r="E874">
            <v>87</v>
          </cell>
        </row>
        <row r="875">
          <cell r="A875">
            <v>0.871</v>
          </cell>
          <cell r="E875">
            <v>87.1</v>
          </cell>
        </row>
        <row r="876">
          <cell r="A876">
            <v>0.872</v>
          </cell>
          <cell r="E876">
            <v>87.2</v>
          </cell>
        </row>
        <row r="877">
          <cell r="A877">
            <v>0.873</v>
          </cell>
          <cell r="E877">
            <v>87.3</v>
          </cell>
        </row>
        <row r="878">
          <cell r="A878">
            <v>0.874</v>
          </cell>
          <cell r="E878">
            <v>87.4</v>
          </cell>
        </row>
        <row r="879">
          <cell r="A879">
            <v>0.875</v>
          </cell>
          <cell r="E879">
            <v>87.5</v>
          </cell>
        </row>
        <row r="880">
          <cell r="A880">
            <v>0.876</v>
          </cell>
          <cell r="E880">
            <v>87.6</v>
          </cell>
        </row>
        <row r="881">
          <cell r="A881">
            <v>0.877</v>
          </cell>
          <cell r="E881">
            <v>87.7</v>
          </cell>
        </row>
        <row r="882">
          <cell r="A882">
            <v>0.878</v>
          </cell>
          <cell r="E882">
            <v>87.8</v>
          </cell>
        </row>
        <row r="883">
          <cell r="A883">
            <v>0.879</v>
          </cell>
          <cell r="E883">
            <v>87.9</v>
          </cell>
        </row>
        <row r="884">
          <cell r="A884">
            <v>0.88</v>
          </cell>
          <cell r="E884">
            <v>88</v>
          </cell>
        </row>
        <row r="885">
          <cell r="A885">
            <v>0.88100000000000001</v>
          </cell>
          <cell r="E885">
            <v>88.1</v>
          </cell>
        </row>
        <row r="886">
          <cell r="A886">
            <v>0.88200000000000001</v>
          </cell>
          <cell r="E886">
            <v>88.2</v>
          </cell>
        </row>
        <row r="887">
          <cell r="A887">
            <v>0.88300000000000001</v>
          </cell>
          <cell r="E887">
            <v>88.3</v>
          </cell>
        </row>
        <row r="888">
          <cell r="A888">
            <v>0.88400000000000001</v>
          </cell>
          <cell r="E888">
            <v>88.4</v>
          </cell>
        </row>
        <row r="889">
          <cell r="A889">
            <v>0.88500000000000001</v>
          </cell>
          <cell r="E889">
            <v>88.5</v>
          </cell>
        </row>
        <row r="890">
          <cell r="A890">
            <v>0.88600000000000001</v>
          </cell>
          <cell r="E890">
            <v>88.6</v>
          </cell>
        </row>
        <row r="891">
          <cell r="A891">
            <v>0.88700000000000001</v>
          </cell>
          <cell r="E891">
            <v>88.7</v>
          </cell>
        </row>
        <row r="892">
          <cell r="A892">
            <v>0.88800000000000001</v>
          </cell>
          <cell r="E892">
            <v>88.8</v>
          </cell>
        </row>
        <row r="893">
          <cell r="A893">
            <v>0.88900000000000001</v>
          </cell>
          <cell r="E893">
            <v>88.9</v>
          </cell>
        </row>
        <row r="894">
          <cell r="A894">
            <v>0.89</v>
          </cell>
          <cell r="E894">
            <v>89</v>
          </cell>
        </row>
        <row r="895">
          <cell r="A895">
            <v>0.89100000000000001</v>
          </cell>
          <cell r="E895">
            <v>89.1</v>
          </cell>
        </row>
        <row r="896">
          <cell r="A896">
            <v>0.89200000000000002</v>
          </cell>
          <cell r="E896">
            <v>89.2</v>
          </cell>
        </row>
        <row r="897">
          <cell r="A897">
            <v>0.89300000000000002</v>
          </cell>
          <cell r="E897">
            <v>89.3</v>
          </cell>
        </row>
        <row r="898">
          <cell r="A898">
            <v>0.89400000000000002</v>
          </cell>
          <cell r="E898">
            <v>89.4</v>
          </cell>
        </row>
        <row r="899">
          <cell r="A899">
            <v>0.89500000000000002</v>
          </cell>
          <cell r="E899">
            <v>89.5</v>
          </cell>
        </row>
        <row r="900">
          <cell r="A900">
            <v>0.89600000000000002</v>
          </cell>
          <cell r="E900">
            <v>89.6</v>
          </cell>
        </row>
        <row r="901">
          <cell r="A901">
            <v>0.89700000000000002</v>
          </cell>
          <cell r="E901">
            <v>89.7</v>
          </cell>
        </row>
        <row r="902">
          <cell r="A902">
            <v>0.89800000000000002</v>
          </cell>
          <cell r="E902">
            <v>89.8</v>
          </cell>
        </row>
        <row r="903">
          <cell r="A903">
            <v>0.89900000000000002</v>
          </cell>
          <cell r="E903">
            <v>89.9</v>
          </cell>
        </row>
        <row r="904">
          <cell r="A904">
            <v>0.9</v>
          </cell>
          <cell r="E904">
            <v>90</v>
          </cell>
        </row>
        <row r="905">
          <cell r="A905">
            <v>0.90100000000000002</v>
          </cell>
          <cell r="E905">
            <v>90.1</v>
          </cell>
        </row>
        <row r="906">
          <cell r="A906">
            <v>0.90200000000000002</v>
          </cell>
          <cell r="E906">
            <v>90.2</v>
          </cell>
        </row>
        <row r="907">
          <cell r="A907">
            <v>0.90300000000000002</v>
          </cell>
          <cell r="E907">
            <v>90.3</v>
          </cell>
        </row>
        <row r="908">
          <cell r="A908">
            <v>0.90400000000000003</v>
          </cell>
          <cell r="E908">
            <v>90.4</v>
          </cell>
        </row>
        <row r="909">
          <cell r="A909">
            <v>0.90500000000000003</v>
          </cell>
          <cell r="E909">
            <v>90.5</v>
          </cell>
        </row>
        <row r="910">
          <cell r="A910">
            <v>0.90600000000000003</v>
          </cell>
          <cell r="E910">
            <v>90.6</v>
          </cell>
        </row>
        <row r="911">
          <cell r="A911">
            <v>0.90700000000000003</v>
          </cell>
          <cell r="E911">
            <v>90.7</v>
          </cell>
        </row>
        <row r="912">
          <cell r="A912">
            <v>0.90800000000000003</v>
          </cell>
          <cell r="E912">
            <v>90.8</v>
          </cell>
        </row>
        <row r="913">
          <cell r="A913">
            <v>0.90900000000000003</v>
          </cell>
          <cell r="E913">
            <v>90.9</v>
          </cell>
        </row>
        <row r="914">
          <cell r="A914">
            <v>0.91</v>
          </cell>
          <cell r="E914">
            <v>91</v>
          </cell>
        </row>
        <row r="915">
          <cell r="A915">
            <v>0.91100000000000003</v>
          </cell>
          <cell r="E915">
            <v>91.1</v>
          </cell>
        </row>
        <row r="916">
          <cell r="A916">
            <v>0.91200000000000003</v>
          </cell>
          <cell r="E916">
            <v>91.2</v>
          </cell>
        </row>
        <row r="917">
          <cell r="A917">
            <v>0.91300000000000003</v>
          </cell>
          <cell r="E917">
            <v>91.3</v>
          </cell>
        </row>
        <row r="918">
          <cell r="A918">
            <v>0.91400000000000003</v>
          </cell>
          <cell r="E918">
            <v>91.4</v>
          </cell>
        </row>
        <row r="919">
          <cell r="A919">
            <v>0.91500000000000004</v>
          </cell>
          <cell r="E919">
            <v>91.5</v>
          </cell>
        </row>
        <row r="920">
          <cell r="A920">
            <v>0.91600000000000004</v>
          </cell>
          <cell r="E920">
            <v>91.6</v>
          </cell>
        </row>
        <row r="921">
          <cell r="A921">
            <v>0.91700000000000004</v>
          </cell>
          <cell r="E921">
            <v>91.7</v>
          </cell>
        </row>
        <row r="922">
          <cell r="A922">
            <v>0.91800000000000004</v>
          </cell>
          <cell r="E922">
            <v>91.8</v>
          </cell>
        </row>
        <row r="923">
          <cell r="A923">
            <v>0.91900000000000004</v>
          </cell>
          <cell r="E923">
            <v>91.9</v>
          </cell>
        </row>
        <row r="924">
          <cell r="A924">
            <v>0.92</v>
          </cell>
          <cell r="E924">
            <v>92</v>
          </cell>
        </row>
        <row r="925">
          <cell r="A925">
            <v>0.92100000000000004</v>
          </cell>
          <cell r="E925">
            <v>92.1</v>
          </cell>
        </row>
        <row r="926">
          <cell r="A926">
            <v>0.92200000000000004</v>
          </cell>
          <cell r="E926">
            <v>92.2</v>
          </cell>
        </row>
        <row r="927">
          <cell r="A927">
            <v>0.92300000000000004</v>
          </cell>
          <cell r="E927">
            <v>92.3</v>
          </cell>
        </row>
        <row r="928">
          <cell r="A928">
            <v>0.92400000000000004</v>
          </cell>
          <cell r="E928">
            <v>92.4</v>
          </cell>
        </row>
        <row r="929">
          <cell r="A929">
            <v>0.92500000000000004</v>
          </cell>
          <cell r="E929">
            <v>92.5</v>
          </cell>
        </row>
        <row r="930">
          <cell r="A930">
            <v>0.92600000000000005</v>
          </cell>
          <cell r="E930">
            <v>92.6</v>
          </cell>
        </row>
        <row r="931">
          <cell r="A931">
            <v>0.92700000000000005</v>
          </cell>
          <cell r="E931">
            <v>92.7</v>
          </cell>
        </row>
        <row r="932">
          <cell r="A932">
            <v>0.92800000000000005</v>
          </cell>
          <cell r="E932">
            <v>92.8</v>
          </cell>
        </row>
        <row r="933">
          <cell r="A933">
            <v>0.92900000000000005</v>
          </cell>
          <cell r="E933">
            <v>92.9</v>
          </cell>
        </row>
        <row r="934">
          <cell r="A934">
            <v>0.93</v>
          </cell>
          <cell r="E934">
            <v>93</v>
          </cell>
        </row>
        <row r="935">
          <cell r="A935">
            <v>0.93100000000000005</v>
          </cell>
          <cell r="E935">
            <v>93.1</v>
          </cell>
        </row>
        <row r="936">
          <cell r="A936">
            <v>0.93200000000000005</v>
          </cell>
          <cell r="E936">
            <v>93.2</v>
          </cell>
        </row>
        <row r="937">
          <cell r="A937">
            <v>0.93300000000000005</v>
          </cell>
          <cell r="E937">
            <v>93.3</v>
          </cell>
        </row>
        <row r="938">
          <cell r="A938">
            <v>0.93400000000000005</v>
          </cell>
          <cell r="E938">
            <v>93.4</v>
          </cell>
        </row>
        <row r="939">
          <cell r="A939">
            <v>0.93500000000000005</v>
          </cell>
          <cell r="E939">
            <v>93.5</v>
          </cell>
        </row>
        <row r="940">
          <cell r="A940">
            <v>0.93600000000000005</v>
          </cell>
          <cell r="E940">
            <v>93.6</v>
          </cell>
        </row>
        <row r="941">
          <cell r="A941">
            <v>0.93700000000000006</v>
          </cell>
          <cell r="E941">
            <v>93.7</v>
          </cell>
        </row>
        <row r="942">
          <cell r="A942">
            <v>0.93799999999999994</v>
          </cell>
          <cell r="E942">
            <v>93.8</v>
          </cell>
        </row>
        <row r="943">
          <cell r="A943">
            <v>0.93899999999999995</v>
          </cell>
          <cell r="E943">
            <v>93.9</v>
          </cell>
        </row>
        <row r="944">
          <cell r="A944">
            <v>0.94</v>
          </cell>
          <cell r="E944">
            <v>94</v>
          </cell>
        </row>
        <row r="945">
          <cell r="A945">
            <v>0.94099999999999995</v>
          </cell>
          <cell r="E945">
            <v>94.1</v>
          </cell>
        </row>
        <row r="946">
          <cell r="A946">
            <v>0.94199999999999995</v>
          </cell>
          <cell r="E946">
            <v>94.2</v>
          </cell>
        </row>
        <row r="947">
          <cell r="A947">
            <v>0.94299999999999995</v>
          </cell>
          <cell r="E947">
            <v>94.3</v>
          </cell>
        </row>
        <row r="948">
          <cell r="A948">
            <v>0.94399999999999995</v>
          </cell>
          <cell r="E948">
            <v>94.4</v>
          </cell>
        </row>
        <row r="949">
          <cell r="A949">
            <v>0.94499999999999995</v>
          </cell>
          <cell r="E949">
            <v>94.5</v>
          </cell>
        </row>
        <row r="950">
          <cell r="A950">
            <v>0.94599999999999995</v>
          </cell>
          <cell r="E950">
            <v>94.6</v>
          </cell>
        </row>
        <row r="951">
          <cell r="A951">
            <v>0.94699999999999995</v>
          </cell>
          <cell r="E951">
            <v>94.7</v>
          </cell>
        </row>
        <row r="952">
          <cell r="A952">
            <v>0.94799999999999995</v>
          </cell>
          <cell r="E952">
            <v>94.8</v>
          </cell>
        </row>
        <row r="953">
          <cell r="A953">
            <v>0.94899999999999995</v>
          </cell>
          <cell r="E953">
            <v>94.9</v>
          </cell>
        </row>
        <row r="954">
          <cell r="A954">
            <v>0.95</v>
          </cell>
          <cell r="E954">
            <v>95</v>
          </cell>
        </row>
        <row r="955">
          <cell r="A955">
            <v>0.95099999999999996</v>
          </cell>
          <cell r="E955">
            <v>95.1</v>
          </cell>
        </row>
        <row r="956">
          <cell r="A956">
            <v>0.95199999999999996</v>
          </cell>
          <cell r="E956">
            <v>95.2</v>
          </cell>
        </row>
        <row r="957">
          <cell r="A957">
            <v>0.95299999999999996</v>
          </cell>
          <cell r="E957">
            <v>95.3</v>
          </cell>
        </row>
        <row r="958">
          <cell r="A958">
            <v>0.95399999999999996</v>
          </cell>
          <cell r="E958">
            <v>95.4</v>
          </cell>
        </row>
        <row r="959">
          <cell r="A959">
            <v>0.95499999999999996</v>
          </cell>
          <cell r="E959">
            <v>95.5</v>
          </cell>
        </row>
        <row r="960">
          <cell r="A960">
            <v>0.95599999999999996</v>
          </cell>
          <cell r="E960">
            <v>95.6</v>
          </cell>
        </row>
        <row r="961">
          <cell r="A961">
            <v>0.95699999999999996</v>
          </cell>
          <cell r="E961">
            <v>95.7</v>
          </cell>
        </row>
        <row r="962">
          <cell r="A962">
            <v>0.95799999999999996</v>
          </cell>
          <cell r="E962">
            <v>95.8</v>
          </cell>
        </row>
        <row r="963">
          <cell r="A963">
            <v>0.95899999999999996</v>
          </cell>
          <cell r="E963">
            <v>95.9</v>
          </cell>
        </row>
        <row r="964">
          <cell r="A964">
            <v>0.96</v>
          </cell>
          <cell r="E964">
            <v>96</v>
          </cell>
        </row>
        <row r="965">
          <cell r="A965">
            <v>0.96099999999999997</v>
          </cell>
          <cell r="E965">
            <v>96.1</v>
          </cell>
        </row>
        <row r="966">
          <cell r="A966">
            <v>0.96199999999999997</v>
          </cell>
          <cell r="E966">
            <v>96.2</v>
          </cell>
        </row>
        <row r="967">
          <cell r="A967">
            <v>0.96299999999999997</v>
          </cell>
          <cell r="E967">
            <v>96.3</v>
          </cell>
        </row>
        <row r="968">
          <cell r="A968">
            <v>0.96399999999999997</v>
          </cell>
          <cell r="E968">
            <v>96.4</v>
          </cell>
        </row>
        <row r="969">
          <cell r="A969">
            <v>0.96499999999999997</v>
          </cell>
          <cell r="E969">
            <v>96.5</v>
          </cell>
        </row>
        <row r="970">
          <cell r="A970">
            <v>0.96599999999999997</v>
          </cell>
          <cell r="E970">
            <v>96.6</v>
          </cell>
        </row>
        <row r="971">
          <cell r="A971">
            <v>0.96699999999999997</v>
          </cell>
          <cell r="E971">
            <v>96.7</v>
          </cell>
        </row>
        <row r="972">
          <cell r="A972">
            <v>0.96799999999999997</v>
          </cell>
          <cell r="E972">
            <v>96.8</v>
          </cell>
        </row>
        <row r="973">
          <cell r="A973">
            <v>0.96899999999999997</v>
          </cell>
          <cell r="E973">
            <v>96.9</v>
          </cell>
        </row>
        <row r="974">
          <cell r="A974">
            <v>0.97</v>
          </cell>
          <cell r="E974">
            <v>97</v>
          </cell>
        </row>
        <row r="975">
          <cell r="A975">
            <v>0.97099999999999997</v>
          </cell>
          <cell r="E975">
            <v>97.1</v>
          </cell>
        </row>
        <row r="976">
          <cell r="A976">
            <v>0.97199999999999998</v>
          </cell>
          <cell r="E976">
            <v>97.2</v>
          </cell>
        </row>
        <row r="977">
          <cell r="A977">
            <v>0.97299999999999998</v>
          </cell>
          <cell r="E977">
            <v>97.3</v>
          </cell>
        </row>
        <row r="978">
          <cell r="A978">
            <v>0.97399999999999998</v>
          </cell>
          <cell r="E978">
            <v>97.4</v>
          </cell>
        </row>
        <row r="979">
          <cell r="A979">
            <v>0.97499999999999998</v>
          </cell>
          <cell r="E979">
            <v>97.5</v>
          </cell>
        </row>
        <row r="980">
          <cell r="A980">
            <v>0.97599999999999998</v>
          </cell>
          <cell r="E980">
            <v>97.6</v>
          </cell>
        </row>
        <row r="981">
          <cell r="A981">
            <v>0.97699999999999998</v>
          </cell>
          <cell r="E981">
            <v>97.7</v>
          </cell>
        </row>
        <row r="982">
          <cell r="A982">
            <v>0.97799999999999998</v>
          </cell>
          <cell r="E982">
            <v>97.8</v>
          </cell>
        </row>
        <row r="983">
          <cell r="A983">
            <v>0.97899999999999998</v>
          </cell>
          <cell r="E983">
            <v>97.9</v>
          </cell>
        </row>
        <row r="984">
          <cell r="A984">
            <v>0.98</v>
          </cell>
          <cell r="E984">
            <v>98</v>
          </cell>
        </row>
        <row r="985">
          <cell r="A985">
            <v>0.98099999999999998</v>
          </cell>
          <cell r="E985">
            <v>98.1</v>
          </cell>
        </row>
        <row r="986">
          <cell r="A986">
            <v>0.98199999999999998</v>
          </cell>
          <cell r="E986">
            <v>98.2</v>
          </cell>
        </row>
        <row r="987">
          <cell r="A987">
            <v>0.98299999999999998</v>
          </cell>
          <cell r="E987">
            <v>98.3</v>
          </cell>
        </row>
        <row r="988">
          <cell r="A988">
            <v>0.98399999999999999</v>
          </cell>
          <cell r="E988">
            <v>98.4</v>
          </cell>
        </row>
        <row r="989">
          <cell r="A989">
            <v>0.98499999999999999</v>
          </cell>
          <cell r="E989">
            <v>98.5</v>
          </cell>
        </row>
        <row r="990">
          <cell r="A990">
            <v>0.98599999999999999</v>
          </cell>
          <cell r="E990">
            <v>98.6</v>
          </cell>
        </row>
        <row r="991">
          <cell r="A991">
            <v>0.98699999999999999</v>
          </cell>
          <cell r="E991">
            <v>98.7</v>
          </cell>
        </row>
        <row r="992">
          <cell r="A992">
            <v>0.98799999999999999</v>
          </cell>
          <cell r="E992">
            <v>98.8</v>
          </cell>
        </row>
        <row r="993">
          <cell r="A993">
            <v>0.98899999999999999</v>
          </cell>
          <cell r="E993">
            <v>98.9</v>
          </cell>
        </row>
        <row r="994">
          <cell r="A994">
            <v>0.99</v>
          </cell>
          <cell r="E994">
            <v>99</v>
          </cell>
        </row>
        <row r="995">
          <cell r="A995">
            <v>0.99099999999999999</v>
          </cell>
          <cell r="E995">
            <v>99.1</v>
          </cell>
        </row>
        <row r="996">
          <cell r="A996">
            <v>0.99199999999999999</v>
          </cell>
          <cell r="E996">
            <v>99.2</v>
          </cell>
        </row>
        <row r="997">
          <cell r="A997">
            <v>0.99299999999999999</v>
          </cell>
          <cell r="E997">
            <v>99.3</v>
          </cell>
        </row>
        <row r="998">
          <cell r="A998">
            <v>0.99399999999999999</v>
          </cell>
          <cell r="E998">
            <v>99.4</v>
          </cell>
        </row>
        <row r="999">
          <cell r="A999">
            <v>0.995</v>
          </cell>
          <cell r="E999">
            <v>99.5</v>
          </cell>
        </row>
        <row r="1000">
          <cell r="A1000">
            <v>0.996</v>
          </cell>
          <cell r="E1000">
            <v>99.6</v>
          </cell>
        </row>
        <row r="1001">
          <cell r="A1001">
            <v>0.997</v>
          </cell>
          <cell r="E1001">
            <v>99.7</v>
          </cell>
        </row>
        <row r="1002">
          <cell r="A1002">
            <v>0.998</v>
          </cell>
          <cell r="E1002">
            <v>99.8</v>
          </cell>
        </row>
        <row r="1003">
          <cell r="A1003">
            <v>0.999</v>
          </cell>
          <cell r="E1003">
            <v>99.9</v>
          </cell>
        </row>
        <row r="1004">
          <cell r="A1004">
            <v>1</v>
          </cell>
          <cell r="E1004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theme="6" tint="-0.499984740745262"/>
    <pageSetUpPr fitToPage="1"/>
  </sheetPr>
  <dimension ref="A1:Z56"/>
  <sheetViews>
    <sheetView showGridLines="0" showRowColHeaders="0" showZeros="0" tabSelected="1" zoomScaleNormal="100" workbookViewId="0"/>
  </sheetViews>
  <sheetFormatPr defaultColWidth="9.140625" defaultRowHeight="14.25" x14ac:dyDescent="0.25"/>
  <cols>
    <col min="1" max="1" width="4" style="1" bestFit="1" customWidth="1"/>
    <col min="2" max="2" width="1.28515625" style="1" customWidth="1"/>
    <col min="3" max="3" width="3.28515625" style="7" bestFit="1" customWidth="1"/>
    <col min="4" max="4" width="14.7109375" style="1" customWidth="1"/>
    <col min="5" max="5" width="14.5703125" style="1" bestFit="1" customWidth="1"/>
    <col min="6" max="6" width="7.140625" style="1" customWidth="1"/>
    <col min="7" max="7" width="6.85546875" style="1" customWidth="1"/>
    <col min="8" max="8" width="8.28515625" style="1" bestFit="1" customWidth="1"/>
    <col min="9" max="9" width="0.7109375" style="1" customWidth="1"/>
    <col min="10" max="10" width="3.28515625" style="7" bestFit="1" customWidth="1"/>
    <col min="11" max="11" width="14.7109375" style="1" bestFit="1" customWidth="1"/>
    <col min="12" max="12" width="11.42578125" style="1" customWidth="1"/>
    <col min="13" max="13" width="7.140625" style="1" customWidth="1"/>
    <col min="14" max="14" width="6.85546875" style="1" customWidth="1"/>
    <col min="15" max="15" width="1.28515625" style="1" customWidth="1"/>
    <col min="16" max="16" width="7.85546875" style="1" bestFit="1" customWidth="1"/>
    <col min="17" max="20" width="9.140625" style="1" customWidth="1"/>
    <col min="21" max="21" width="1.7109375" style="1" customWidth="1"/>
    <col min="22" max="25" width="9.140625" style="1"/>
    <col min="26" max="26" width="7.85546875" style="1" bestFit="1" customWidth="1"/>
    <col min="27" max="16384" width="9.140625" style="1"/>
  </cols>
  <sheetData>
    <row r="1" spans="1:25" ht="7.15" customHeight="1" x14ac:dyDescent="0.25"/>
    <row r="2" spans="1:25" ht="16.5" thickBot="1" x14ac:dyDescent="0.3">
      <c r="C2" s="348" t="s">
        <v>109</v>
      </c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</row>
    <row r="3" spans="1:25" ht="17.25" thickTop="1" x14ac:dyDescent="0.2">
      <c r="C3" s="349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1"/>
      <c r="P3" s="366" t="s">
        <v>36</v>
      </c>
      <c r="Q3" s="329" t="s">
        <v>8</v>
      </c>
      <c r="R3" s="329"/>
      <c r="S3" s="329"/>
      <c r="T3" s="329"/>
    </row>
    <row r="4" spans="1:25" ht="15" thickBot="1" x14ac:dyDescent="0.3">
      <c r="C4" s="124"/>
      <c r="D4" s="2"/>
      <c r="E4" s="2"/>
      <c r="F4" s="2"/>
      <c r="G4" s="2"/>
      <c r="H4" s="2"/>
      <c r="I4" s="2"/>
      <c r="J4" s="24"/>
      <c r="K4" s="2"/>
      <c r="L4" s="2"/>
      <c r="M4" s="2"/>
      <c r="N4" s="2"/>
      <c r="O4" s="125"/>
      <c r="P4" s="366"/>
      <c r="Q4" s="330" t="s">
        <v>10</v>
      </c>
      <c r="R4" s="331"/>
      <c r="S4" s="331"/>
      <c r="T4" s="332"/>
      <c r="U4" s="2"/>
      <c r="V4" s="2"/>
    </row>
    <row r="5" spans="1:25" ht="15" thickBot="1" x14ac:dyDescent="0.3">
      <c r="A5" s="343" t="s">
        <v>52</v>
      </c>
      <c r="C5" s="124"/>
      <c r="D5" s="2"/>
      <c r="E5" s="2"/>
      <c r="F5" s="2"/>
      <c r="G5" s="2"/>
      <c r="H5" s="2"/>
      <c r="I5" s="2"/>
      <c r="J5" s="24"/>
      <c r="K5" s="167" t="s">
        <v>0</v>
      </c>
      <c r="L5" s="38"/>
      <c r="M5" s="2"/>
      <c r="N5" s="2"/>
      <c r="O5" s="125"/>
      <c r="P5" s="367" t="s">
        <v>37</v>
      </c>
      <c r="Q5" s="352" t="s">
        <v>9</v>
      </c>
      <c r="R5" s="353"/>
      <c r="S5" s="353"/>
      <c r="T5" s="354"/>
      <c r="U5" s="2"/>
      <c r="V5" s="2"/>
    </row>
    <row r="6" spans="1:25" s="20" customFormat="1" ht="15.75" thickBot="1" x14ac:dyDescent="0.3">
      <c r="A6" s="343"/>
      <c r="C6" s="126"/>
      <c r="D6" s="25"/>
      <c r="E6" s="25"/>
      <c r="F6" s="25"/>
      <c r="G6" s="25"/>
      <c r="H6" s="25"/>
      <c r="I6" s="25"/>
      <c r="J6" s="25"/>
      <c r="K6" s="25"/>
      <c r="L6" s="44"/>
      <c r="M6" s="45"/>
      <c r="N6" s="25"/>
      <c r="O6" s="127"/>
      <c r="P6" s="367"/>
      <c r="Q6" s="344" t="s">
        <v>114</v>
      </c>
      <c r="R6" s="345"/>
      <c r="S6" s="345"/>
      <c r="T6" s="346"/>
      <c r="U6" s="25"/>
      <c r="V6" s="25"/>
    </row>
    <row r="7" spans="1:25" ht="15" x14ac:dyDescent="0.25">
      <c r="A7" s="343"/>
      <c r="C7" s="124"/>
      <c r="D7" s="355" t="s">
        <v>3</v>
      </c>
      <c r="E7" s="357" t="s">
        <v>4</v>
      </c>
      <c r="F7" s="363" t="s">
        <v>14</v>
      </c>
      <c r="G7" s="364"/>
      <c r="H7" s="359" t="s">
        <v>6</v>
      </c>
      <c r="I7" s="2"/>
      <c r="J7" s="24"/>
      <c r="K7" s="355" t="s">
        <v>3</v>
      </c>
      <c r="L7" s="361"/>
      <c r="M7" s="365" t="s">
        <v>14</v>
      </c>
      <c r="N7" s="364"/>
      <c r="O7" s="125"/>
      <c r="P7" s="368"/>
      <c r="Q7" s="209"/>
      <c r="U7" s="2"/>
      <c r="V7" s="2"/>
    </row>
    <row r="8" spans="1:25" ht="15" thickBot="1" x14ac:dyDescent="0.25">
      <c r="A8" s="343"/>
      <c r="C8" s="124"/>
      <c r="D8" s="356"/>
      <c r="E8" s="358"/>
      <c r="F8" s="237" t="s">
        <v>13</v>
      </c>
      <c r="G8" s="238" t="s">
        <v>12</v>
      </c>
      <c r="H8" s="360"/>
      <c r="I8" s="2"/>
      <c r="J8" s="24"/>
      <c r="K8" s="356"/>
      <c r="L8" s="362"/>
      <c r="M8" s="239" t="s">
        <v>13</v>
      </c>
      <c r="N8" s="238" t="s">
        <v>12</v>
      </c>
      <c r="O8" s="125"/>
      <c r="P8" s="122"/>
      <c r="Q8" s="347" t="s">
        <v>11</v>
      </c>
      <c r="R8" s="347"/>
      <c r="S8" s="347"/>
      <c r="T8" s="347"/>
      <c r="U8" s="2"/>
      <c r="V8" s="342" t="s">
        <v>57</v>
      </c>
      <c r="W8" s="342"/>
      <c r="X8" s="342"/>
      <c r="Y8" s="342"/>
    </row>
    <row r="9" spans="1:25" ht="15" x14ac:dyDescent="0.25">
      <c r="A9" s="343"/>
      <c r="C9" s="124">
        <f>C7+1</f>
        <v>1</v>
      </c>
      <c r="D9" s="51" t="s">
        <v>15</v>
      </c>
      <c r="E9" s="50"/>
      <c r="F9" s="73"/>
      <c r="G9" s="74"/>
      <c r="H9" s="30" t="s">
        <v>2</v>
      </c>
      <c r="I9" s="2"/>
      <c r="J9" s="24">
        <f>J7+1</f>
        <v>1</v>
      </c>
      <c r="K9" s="233" t="str">
        <f>D9</f>
        <v>… Брашно …</v>
      </c>
      <c r="L9" s="53">
        <f t="shared" ref="L9:L22" si="0">E9*$L$5</f>
        <v>0</v>
      </c>
      <c r="M9" s="75">
        <f t="shared" ref="M9:M22" si="1">F9*$L$5</f>
        <v>0</v>
      </c>
      <c r="N9" s="76">
        <f t="shared" ref="N9:N22" si="2">G9</f>
        <v>0</v>
      </c>
      <c r="O9" s="128"/>
      <c r="P9" s="123" t="s">
        <v>50</v>
      </c>
      <c r="Q9" s="333"/>
      <c r="R9" s="334"/>
      <c r="S9" s="334"/>
      <c r="T9" s="335"/>
      <c r="U9" s="2"/>
      <c r="V9" s="333"/>
      <c r="W9" s="334"/>
      <c r="X9" s="334"/>
      <c r="Y9" s="335"/>
    </row>
    <row r="10" spans="1:25" ht="15.75" x14ac:dyDescent="0.25">
      <c r="A10" s="343"/>
      <c r="C10" s="124">
        <f t="shared" ref="C10:C22" si="3">C9+1</f>
        <v>2</v>
      </c>
      <c r="D10" s="9"/>
      <c r="E10" s="31"/>
      <c r="F10" s="11"/>
      <c r="G10" s="12"/>
      <c r="H10" s="3" t="str">
        <f>IFERROR(E10/$E$9,"")</f>
        <v/>
      </c>
      <c r="I10" s="2"/>
      <c r="J10" s="24">
        <f t="shared" ref="J10:J22" si="4">J9+1</f>
        <v>2</v>
      </c>
      <c r="K10" s="17">
        <f>D10</f>
        <v>0</v>
      </c>
      <c r="L10" s="36">
        <f t="shared" si="0"/>
        <v>0</v>
      </c>
      <c r="M10" s="34">
        <f t="shared" si="1"/>
        <v>0</v>
      </c>
      <c r="N10" s="21">
        <f t="shared" si="2"/>
        <v>0</v>
      </c>
      <c r="O10" s="128"/>
      <c r="P10" s="279" t="s">
        <v>51</v>
      </c>
      <c r="Q10" s="336"/>
      <c r="R10" s="337"/>
      <c r="S10" s="337"/>
      <c r="T10" s="338"/>
      <c r="U10" s="2"/>
      <c r="V10" s="336"/>
      <c r="W10" s="337"/>
      <c r="X10" s="337"/>
      <c r="Y10" s="338"/>
    </row>
    <row r="11" spans="1:25" x14ac:dyDescent="0.25">
      <c r="A11" s="343"/>
      <c r="C11" s="124">
        <f t="shared" si="3"/>
        <v>3</v>
      </c>
      <c r="D11" s="9"/>
      <c r="E11" s="31"/>
      <c r="F11" s="11"/>
      <c r="G11" s="23"/>
      <c r="H11" s="3" t="str">
        <f>IFERROR(E11/$E$9,"")</f>
        <v/>
      </c>
      <c r="I11" s="2"/>
      <c r="J11" s="24">
        <f t="shared" si="4"/>
        <v>3</v>
      </c>
      <c r="K11" s="17">
        <f>D11</f>
        <v>0</v>
      </c>
      <c r="L11" s="36">
        <f t="shared" si="0"/>
        <v>0</v>
      </c>
      <c r="M11" s="34">
        <f t="shared" si="1"/>
        <v>0</v>
      </c>
      <c r="N11" s="21">
        <f t="shared" si="2"/>
        <v>0</v>
      </c>
      <c r="O11" s="128"/>
      <c r="P11" s="2"/>
      <c r="Q11" s="336"/>
      <c r="R11" s="337"/>
      <c r="S11" s="337"/>
      <c r="T11" s="338"/>
      <c r="U11" s="2"/>
      <c r="V11" s="336"/>
      <c r="W11" s="337"/>
      <c r="X11" s="337"/>
      <c r="Y11" s="338"/>
    </row>
    <row r="12" spans="1:25" x14ac:dyDescent="0.25">
      <c r="A12" s="343"/>
      <c r="C12" s="124">
        <f t="shared" si="3"/>
        <v>4</v>
      </c>
      <c r="D12" s="9"/>
      <c r="E12" s="31"/>
      <c r="F12" s="11"/>
      <c r="G12" s="12"/>
      <c r="H12" s="3" t="str">
        <f>IFERROR(E12/$E$9,"")</f>
        <v/>
      </c>
      <c r="I12" s="2"/>
      <c r="J12" s="24">
        <f t="shared" si="4"/>
        <v>4</v>
      </c>
      <c r="K12" s="17">
        <f>D12</f>
        <v>0</v>
      </c>
      <c r="L12" s="36">
        <f t="shared" si="0"/>
        <v>0</v>
      </c>
      <c r="M12" s="34">
        <f t="shared" si="1"/>
        <v>0</v>
      </c>
      <c r="N12" s="21">
        <f t="shared" si="2"/>
        <v>0</v>
      </c>
      <c r="O12" s="128"/>
      <c r="P12" s="2"/>
      <c r="Q12" s="336"/>
      <c r="R12" s="337"/>
      <c r="S12" s="337"/>
      <c r="T12" s="338"/>
      <c r="U12" s="2"/>
      <c r="V12" s="336"/>
      <c r="W12" s="337"/>
      <c r="X12" s="337"/>
      <c r="Y12" s="338"/>
    </row>
    <row r="13" spans="1:25" x14ac:dyDescent="0.25">
      <c r="A13" s="343"/>
      <c r="C13" s="124">
        <f t="shared" si="3"/>
        <v>5</v>
      </c>
      <c r="D13" s="9"/>
      <c r="E13" s="32"/>
      <c r="F13" s="11"/>
      <c r="G13" s="12"/>
      <c r="H13" s="3" t="str">
        <f>IFERROR(E13/$E$9,"")</f>
        <v/>
      </c>
      <c r="I13" s="2"/>
      <c r="J13" s="24">
        <f t="shared" si="4"/>
        <v>5</v>
      </c>
      <c r="K13" s="17">
        <f>D13</f>
        <v>0</v>
      </c>
      <c r="L13" s="36">
        <f t="shared" si="0"/>
        <v>0</v>
      </c>
      <c r="M13" s="34">
        <f t="shared" si="1"/>
        <v>0</v>
      </c>
      <c r="N13" s="21">
        <f t="shared" si="2"/>
        <v>0</v>
      </c>
      <c r="O13" s="128"/>
      <c r="P13" s="2"/>
      <c r="Q13" s="336"/>
      <c r="R13" s="337"/>
      <c r="S13" s="337"/>
      <c r="T13" s="338"/>
      <c r="U13" s="2"/>
      <c r="V13" s="336"/>
      <c r="W13" s="337"/>
      <c r="X13" s="337"/>
      <c r="Y13" s="338"/>
    </row>
    <row r="14" spans="1:25" x14ac:dyDescent="0.25">
      <c r="A14" s="343"/>
      <c r="C14" s="124">
        <f t="shared" si="3"/>
        <v>6</v>
      </c>
      <c r="D14" s="9"/>
      <c r="E14" s="32"/>
      <c r="F14" s="11"/>
      <c r="G14" s="23"/>
      <c r="H14" s="3" t="str">
        <f t="shared" ref="H14:H22" si="5">IFERROR(E14/$E$9,"")</f>
        <v/>
      </c>
      <c r="I14" s="2"/>
      <c r="J14" s="24">
        <f t="shared" si="4"/>
        <v>6</v>
      </c>
      <c r="K14" s="17">
        <f t="shared" ref="K14:K22" si="6">D14</f>
        <v>0</v>
      </c>
      <c r="L14" s="36">
        <f t="shared" si="0"/>
        <v>0</v>
      </c>
      <c r="M14" s="34">
        <f t="shared" si="1"/>
        <v>0</v>
      </c>
      <c r="N14" s="21">
        <f t="shared" si="2"/>
        <v>0</v>
      </c>
      <c r="O14" s="128"/>
      <c r="P14" s="2"/>
      <c r="Q14" s="336"/>
      <c r="R14" s="337"/>
      <c r="S14" s="337"/>
      <c r="T14" s="338"/>
      <c r="U14" s="2"/>
      <c r="V14" s="336"/>
      <c r="W14" s="337"/>
      <c r="X14" s="337"/>
      <c r="Y14" s="338"/>
    </row>
    <row r="15" spans="1:25" x14ac:dyDescent="0.25">
      <c r="A15" s="343"/>
      <c r="C15" s="124">
        <f t="shared" si="3"/>
        <v>7</v>
      </c>
      <c r="D15" s="9"/>
      <c r="E15" s="31"/>
      <c r="F15" s="13"/>
      <c r="G15" s="14"/>
      <c r="H15" s="3" t="str">
        <f t="shared" si="5"/>
        <v/>
      </c>
      <c r="I15" s="2"/>
      <c r="J15" s="24">
        <f t="shared" si="4"/>
        <v>7</v>
      </c>
      <c r="K15" s="17">
        <f t="shared" si="6"/>
        <v>0</v>
      </c>
      <c r="L15" s="36">
        <f t="shared" si="0"/>
        <v>0</v>
      </c>
      <c r="M15" s="34">
        <f t="shared" si="1"/>
        <v>0</v>
      </c>
      <c r="N15" s="21">
        <f t="shared" si="2"/>
        <v>0</v>
      </c>
      <c r="O15" s="128"/>
      <c r="P15" s="2"/>
      <c r="Q15" s="336"/>
      <c r="R15" s="337"/>
      <c r="S15" s="337"/>
      <c r="T15" s="338"/>
      <c r="U15" s="2"/>
      <c r="V15" s="336"/>
      <c r="W15" s="337"/>
      <c r="X15" s="337"/>
      <c r="Y15" s="338"/>
    </row>
    <row r="16" spans="1:25" ht="15" x14ac:dyDescent="0.25">
      <c r="A16" s="343"/>
      <c r="C16" s="124">
        <f t="shared" si="3"/>
        <v>8</v>
      </c>
      <c r="D16" s="61"/>
      <c r="E16" s="31"/>
      <c r="F16" s="13"/>
      <c r="G16" s="14"/>
      <c r="H16" s="3" t="str">
        <f t="shared" si="5"/>
        <v/>
      </c>
      <c r="I16" s="2"/>
      <c r="J16" s="24">
        <f t="shared" si="4"/>
        <v>8</v>
      </c>
      <c r="K16" s="18">
        <f t="shared" si="6"/>
        <v>0</v>
      </c>
      <c r="L16" s="36">
        <f t="shared" si="0"/>
        <v>0</v>
      </c>
      <c r="M16" s="34">
        <f t="shared" si="1"/>
        <v>0</v>
      </c>
      <c r="N16" s="21">
        <f t="shared" si="2"/>
        <v>0</v>
      </c>
      <c r="O16" s="128"/>
      <c r="P16" s="2"/>
      <c r="Q16" s="336"/>
      <c r="R16" s="337"/>
      <c r="S16" s="337"/>
      <c r="T16" s="338"/>
      <c r="U16" s="2"/>
      <c r="V16" s="336"/>
      <c r="W16" s="337"/>
      <c r="X16" s="337"/>
      <c r="Y16" s="338"/>
    </row>
    <row r="17" spans="1:26" x14ac:dyDescent="0.25">
      <c r="A17" s="343"/>
      <c r="C17" s="124">
        <f t="shared" si="3"/>
        <v>9</v>
      </c>
      <c r="D17" s="9"/>
      <c r="E17" s="31"/>
      <c r="F17" s="13"/>
      <c r="G17" s="14"/>
      <c r="H17" s="3" t="str">
        <f t="shared" si="5"/>
        <v/>
      </c>
      <c r="I17" s="2"/>
      <c r="J17" s="24">
        <f t="shared" si="4"/>
        <v>9</v>
      </c>
      <c r="K17" s="17">
        <f t="shared" si="6"/>
        <v>0</v>
      </c>
      <c r="L17" s="36">
        <f t="shared" si="0"/>
        <v>0</v>
      </c>
      <c r="M17" s="34">
        <f t="shared" si="1"/>
        <v>0</v>
      </c>
      <c r="N17" s="21">
        <f t="shared" si="2"/>
        <v>0</v>
      </c>
      <c r="O17" s="128"/>
      <c r="P17" s="2"/>
      <c r="Q17" s="336"/>
      <c r="R17" s="337"/>
      <c r="S17" s="337"/>
      <c r="T17" s="338"/>
      <c r="U17" s="2"/>
      <c r="V17" s="336"/>
      <c r="W17" s="337"/>
      <c r="X17" s="337"/>
      <c r="Y17" s="338"/>
    </row>
    <row r="18" spans="1:26" x14ac:dyDescent="0.25">
      <c r="A18" s="343"/>
      <c r="C18" s="124">
        <f t="shared" si="3"/>
        <v>10</v>
      </c>
      <c r="D18" s="9"/>
      <c r="E18" s="31"/>
      <c r="F18" s="13"/>
      <c r="G18" s="14"/>
      <c r="H18" s="3" t="str">
        <f t="shared" si="5"/>
        <v/>
      </c>
      <c r="I18" s="2"/>
      <c r="J18" s="24">
        <f t="shared" si="4"/>
        <v>10</v>
      </c>
      <c r="K18" s="17">
        <f t="shared" si="6"/>
        <v>0</v>
      </c>
      <c r="L18" s="36">
        <f t="shared" si="0"/>
        <v>0</v>
      </c>
      <c r="M18" s="34">
        <f t="shared" si="1"/>
        <v>0</v>
      </c>
      <c r="N18" s="21">
        <f t="shared" si="2"/>
        <v>0</v>
      </c>
      <c r="O18" s="128"/>
      <c r="P18" s="2"/>
      <c r="Q18" s="336"/>
      <c r="R18" s="337"/>
      <c r="S18" s="337"/>
      <c r="T18" s="338"/>
      <c r="U18" s="2"/>
      <c r="V18" s="336"/>
      <c r="W18" s="337"/>
      <c r="X18" s="337"/>
      <c r="Y18" s="338"/>
    </row>
    <row r="19" spans="1:26" x14ac:dyDescent="0.25">
      <c r="A19" s="343"/>
      <c r="C19" s="124">
        <f t="shared" si="3"/>
        <v>11</v>
      </c>
      <c r="D19" s="9"/>
      <c r="E19" s="31"/>
      <c r="F19" s="13"/>
      <c r="G19" s="14"/>
      <c r="H19" s="3" t="str">
        <f t="shared" si="5"/>
        <v/>
      </c>
      <c r="I19" s="2"/>
      <c r="J19" s="24">
        <f t="shared" si="4"/>
        <v>11</v>
      </c>
      <c r="K19" s="17">
        <f t="shared" si="6"/>
        <v>0</v>
      </c>
      <c r="L19" s="36">
        <f t="shared" si="0"/>
        <v>0</v>
      </c>
      <c r="M19" s="34">
        <f t="shared" si="1"/>
        <v>0</v>
      </c>
      <c r="N19" s="21">
        <f t="shared" si="2"/>
        <v>0</v>
      </c>
      <c r="O19" s="128"/>
      <c r="P19" s="2"/>
      <c r="Q19" s="336"/>
      <c r="R19" s="337"/>
      <c r="S19" s="337"/>
      <c r="T19" s="338"/>
      <c r="U19" s="2"/>
      <c r="V19" s="336"/>
      <c r="W19" s="337"/>
      <c r="X19" s="337"/>
      <c r="Y19" s="338"/>
    </row>
    <row r="20" spans="1:26" x14ac:dyDescent="0.25">
      <c r="A20" s="343"/>
      <c r="C20" s="124">
        <f t="shared" si="3"/>
        <v>12</v>
      </c>
      <c r="D20" s="9"/>
      <c r="E20" s="31"/>
      <c r="F20" s="13"/>
      <c r="G20" s="23"/>
      <c r="H20" s="3" t="str">
        <f t="shared" si="5"/>
        <v/>
      </c>
      <c r="I20" s="2"/>
      <c r="J20" s="24">
        <f t="shared" si="4"/>
        <v>12</v>
      </c>
      <c r="K20" s="17">
        <f t="shared" si="6"/>
        <v>0</v>
      </c>
      <c r="L20" s="36">
        <f t="shared" si="0"/>
        <v>0</v>
      </c>
      <c r="M20" s="34">
        <f t="shared" si="1"/>
        <v>0</v>
      </c>
      <c r="N20" s="21">
        <f t="shared" si="2"/>
        <v>0</v>
      </c>
      <c r="O20" s="128"/>
      <c r="P20" s="2"/>
      <c r="Q20" s="336"/>
      <c r="R20" s="337"/>
      <c r="S20" s="337"/>
      <c r="T20" s="338"/>
      <c r="U20" s="2"/>
      <c r="V20" s="336"/>
      <c r="W20" s="337"/>
      <c r="X20" s="337"/>
      <c r="Y20" s="338"/>
    </row>
    <row r="21" spans="1:26" x14ac:dyDescent="0.25">
      <c r="A21" s="343"/>
      <c r="C21" s="124">
        <f t="shared" si="3"/>
        <v>13</v>
      </c>
      <c r="D21" s="9"/>
      <c r="E21" s="31"/>
      <c r="F21" s="13"/>
      <c r="G21" s="14"/>
      <c r="H21" s="3" t="str">
        <f t="shared" si="5"/>
        <v/>
      </c>
      <c r="I21" s="2"/>
      <c r="J21" s="24">
        <f t="shared" si="4"/>
        <v>13</v>
      </c>
      <c r="K21" s="17">
        <f t="shared" si="6"/>
        <v>0</v>
      </c>
      <c r="L21" s="36">
        <f t="shared" si="0"/>
        <v>0</v>
      </c>
      <c r="M21" s="34">
        <f t="shared" si="1"/>
        <v>0</v>
      </c>
      <c r="N21" s="21">
        <f t="shared" si="2"/>
        <v>0</v>
      </c>
      <c r="O21" s="128"/>
      <c r="P21" s="2"/>
      <c r="Q21" s="336"/>
      <c r="R21" s="337"/>
      <c r="S21" s="337"/>
      <c r="T21" s="338"/>
      <c r="U21" s="2"/>
      <c r="V21" s="336"/>
      <c r="W21" s="337"/>
      <c r="X21" s="337"/>
      <c r="Y21" s="338"/>
    </row>
    <row r="22" spans="1:26" ht="15" thickBot="1" x14ac:dyDescent="0.3">
      <c r="A22" s="343"/>
      <c r="C22" s="124">
        <f t="shared" si="3"/>
        <v>14</v>
      </c>
      <c r="D22" s="10"/>
      <c r="E22" s="33"/>
      <c r="F22" s="15"/>
      <c r="G22" s="16"/>
      <c r="H22" s="8" t="str">
        <f t="shared" si="5"/>
        <v/>
      </c>
      <c r="I22" s="2"/>
      <c r="J22" s="24">
        <f t="shared" si="4"/>
        <v>14</v>
      </c>
      <c r="K22" s="19">
        <f t="shared" si="6"/>
        <v>0</v>
      </c>
      <c r="L22" s="37">
        <f t="shared" si="0"/>
        <v>0</v>
      </c>
      <c r="M22" s="35">
        <f t="shared" si="1"/>
        <v>0</v>
      </c>
      <c r="N22" s="22">
        <f t="shared" si="2"/>
        <v>0</v>
      </c>
      <c r="O22" s="128"/>
      <c r="P22" s="2"/>
      <c r="Q22" s="336"/>
      <c r="R22" s="337"/>
      <c r="S22" s="337"/>
      <c r="T22" s="338"/>
      <c r="U22" s="2"/>
      <c r="V22" s="336"/>
      <c r="W22" s="337"/>
      <c r="X22" s="337"/>
      <c r="Y22" s="338"/>
    </row>
    <row r="23" spans="1:26" ht="15" thickBot="1" x14ac:dyDescent="0.3">
      <c r="A23" s="343"/>
      <c r="C23" s="129"/>
      <c r="D23" s="130" t="s">
        <v>1</v>
      </c>
      <c r="E23" s="131">
        <f>SUM(E9:E22)</f>
        <v>0</v>
      </c>
      <c r="F23" s="132"/>
      <c r="G23" s="132"/>
      <c r="H23" s="133"/>
      <c r="I23" s="133"/>
      <c r="J23" s="134"/>
      <c r="K23" s="130" t="s">
        <v>1</v>
      </c>
      <c r="L23" s="131">
        <f>SUM(L9:L22)</f>
        <v>0</v>
      </c>
      <c r="M23" s="131"/>
      <c r="N23" s="131"/>
      <c r="O23" s="135"/>
      <c r="P23" s="2"/>
      <c r="Q23" s="336"/>
      <c r="R23" s="337"/>
      <c r="S23" s="337"/>
      <c r="T23" s="338"/>
      <c r="U23" s="2"/>
      <c r="V23" s="336"/>
      <c r="W23" s="337"/>
      <c r="X23" s="337"/>
      <c r="Y23" s="338"/>
    </row>
    <row r="24" spans="1:26" ht="16.5" thickTop="1" x14ac:dyDescent="0.25">
      <c r="E24" s="111" t="s">
        <v>55</v>
      </c>
      <c r="L24" s="111" t="s">
        <v>55</v>
      </c>
      <c r="P24" s="2"/>
      <c r="Q24" s="336"/>
      <c r="R24" s="337"/>
      <c r="S24" s="337"/>
      <c r="T24" s="338"/>
      <c r="U24" s="2"/>
      <c r="V24" s="336"/>
      <c r="W24" s="337"/>
      <c r="X24" s="337"/>
      <c r="Y24" s="338"/>
    </row>
    <row r="25" spans="1:26" x14ac:dyDescent="0.25">
      <c r="E25" s="213"/>
      <c r="F25" s="231" t="s">
        <v>112</v>
      </c>
      <c r="L25" s="213"/>
      <c r="M25" s="231" t="s">
        <v>116</v>
      </c>
      <c r="Q25" s="336"/>
      <c r="R25" s="337"/>
      <c r="S25" s="337"/>
      <c r="T25" s="338"/>
      <c r="V25" s="336"/>
      <c r="W25" s="337"/>
      <c r="X25" s="337"/>
      <c r="Y25" s="338"/>
    </row>
    <row r="26" spans="1:26" ht="15" x14ac:dyDescent="0.25">
      <c r="E26" s="112" t="s">
        <v>56</v>
      </c>
      <c r="L26" s="112" t="s">
        <v>56</v>
      </c>
      <c r="Q26" s="336"/>
      <c r="R26" s="337"/>
      <c r="S26" s="337"/>
      <c r="T26" s="338"/>
      <c r="V26" s="336"/>
      <c r="W26" s="337"/>
      <c r="X26" s="337"/>
      <c r="Y26" s="338"/>
    </row>
    <row r="27" spans="1:26" ht="15" x14ac:dyDescent="0.25">
      <c r="E27" s="212" t="str">
        <f>IFERROR(E23/E25,"")</f>
        <v/>
      </c>
      <c r="F27" s="232" t="str">
        <f>IF(F25="части","грама",(IF(F25="грама","части","")))</f>
        <v>грама</v>
      </c>
      <c r="L27" s="212" t="str">
        <f>IFERROR(L23/L25,"")</f>
        <v/>
      </c>
      <c r="M27" s="232" t="str">
        <f>IF(M25="части","грама",(IF(M25="грама","части","")))</f>
        <v>части</v>
      </c>
      <c r="Q27" s="336"/>
      <c r="R27" s="337"/>
      <c r="S27" s="337"/>
      <c r="T27" s="338"/>
      <c r="V27" s="336"/>
      <c r="W27" s="337"/>
      <c r="X27" s="337"/>
      <c r="Y27" s="338"/>
    </row>
    <row r="28" spans="1:26" x14ac:dyDescent="0.25">
      <c r="Q28" s="336"/>
      <c r="R28" s="337"/>
      <c r="S28" s="337"/>
      <c r="T28" s="338"/>
      <c r="V28" s="336"/>
      <c r="W28" s="337"/>
      <c r="X28" s="337"/>
      <c r="Y28" s="338"/>
    </row>
    <row r="29" spans="1:26" x14ac:dyDescent="0.25">
      <c r="Q29" s="336"/>
      <c r="R29" s="337"/>
      <c r="S29" s="337"/>
      <c r="T29" s="338"/>
      <c r="V29" s="336"/>
      <c r="W29" s="337"/>
      <c r="X29" s="337"/>
      <c r="Y29" s="338"/>
    </row>
    <row r="30" spans="1:26" x14ac:dyDescent="0.25">
      <c r="Q30" s="336"/>
      <c r="R30" s="337"/>
      <c r="S30" s="337"/>
      <c r="T30" s="338"/>
      <c r="V30" s="336"/>
      <c r="W30" s="337"/>
      <c r="X30" s="337"/>
      <c r="Y30" s="338"/>
    </row>
    <row r="31" spans="1:26" x14ac:dyDescent="0.25">
      <c r="P31" s="328" t="s">
        <v>35</v>
      </c>
      <c r="Q31" s="336"/>
      <c r="R31" s="337"/>
      <c r="S31" s="337"/>
      <c r="T31" s="338"/>
      <c r="V31" s="336"/>
      <c r="W31" s="337"/>
      <c r="X31" s="337"/>
      <c r="Y31" s="338"/>
      <c r="Z31" s="328" t="s">
        <v>35</v>
      </c>
    </row>
    <row r="32" spans="1:26" x14ac:dyDescent="0.25">
      <c r="P32" s="328"/>
      <c r="Q32" s="336"/>
      <c r="R32" s="337"/>
      <c r="S32" s="337"/>
      <c r="T32" s="338"/>
      <c r="V32" s="336"/>
      <c r="W32" s="337"/>
      <c r="X32" s="337"/>
      <c r="Y32" s="338"/>
      <c r="Z32" s="328"/>
    </row>
    <row r="33" spans="17:25" x14ac:dyDescent="0.25">
      <c r="Q33" s="336"/>
      <c r="R33" s="337"/>
      <c r="S33" s="337"/>
      <c r="T33" s="338"/>
      <c r="V33" s="336"/>
      <c r="W33" s="337"/>
      <c r="X33" s="337"/>
      <c r="Y33" s="338"/>
    </row>
    <row r="34" spans="17:25" x14ac:dyDescent="0.25">
      <c r="Q34" s="336"/>
      <c r="R34" s="337"/>
      <c r="S34" s="337"/>
      <c r="T34" s="338"/>
      <c r="V34" s="336"/>
      <c r="W34" s="337"/>
      <c r="X34" s="337"/>
      <c r="Y34" s="338"/>
    </row>
    <row r="35" spans="17:25" x14ac:dyDescent="0.25">
      <c r="Q35" s="336"/>
      <c r="R35" s="337"/>
      <c r="S35" s="337"/>
      <c r="T35" s="338"/>
      <c r="V35" s="336"/>
      <c r="W35" s="337"/>
      <c r="X35" s="337"/>
      <c r="Y35" s="338"/>
    </row>
    <row r="36" spans="17:25" x14ac:dyDescent="0.25">
      <c r="Q36" s="336"/>
      <c r="R36" s="337"/>
      <c r="S36" s="337"/>
      <c r="T36" s="338"/>
      <c r="V36" s="336"/>
      <c r="W36" s="337"/>
      <c r="X36" s="337"/>
      <c r="Y36" s="338"/>
    </row>
    <row r="37" spans="17:25" x14ac:dyDescent="0.25">
      <c r="Q37" s="336"/>
      <c r="R37" s="337"/>
      <c r="S37" s="337"/>
      <c r="T37" s="338"/>
      <c r="V37" s="336"/>
      <c r="W37" s="337"/>
      <c r="X37" s="337"/>
      <c r="Y37" s="338"/>
    </row>
    <row r="38" spans="17:25" x14ac:dyDescent="0.25">
      <c r="Q38" s="336"/>
      <c r="R38" s="337"/>
      <c r="S38" s="337"/>
      <c r="T38" s="338"/>
      <c r="V38" s="336"/>
      <c r="W38" s="337"/>
      <c r="X38" s="337"/>
      <c r="Y38" s="338"/>
    </row>
    <row r="39" spans="17:25" x14ac:dyDescent="0.25">
      <c r="Q39" s="336"/>
      <c r="R39" s="337"/>
      <c r="S39" s="337"/>
      <c r="T39" s="338"/>
      <c r="V39" s="336"/>
      <c r="W39" s="337"/>
      <c r="X39" s="337"/>
      <c r="Y39" s="338"/>
    </row>
    <row r="40" spans="17:25" x14ac:dyDescent="0.25">
      <c r="Q40" s="336"/>
      <c r="R40" s="337"/>
      <c r="S40" s="337"/>
      <c r="T40" s="338"/>
      <c r="V40" s="336"/>
      <c r="W40" s="337"/>
      <c r="X40" s="337"/>
      <c r="Y40" s="338"/>
    </row>
    <row r="41" spans="17:25" x14ac:dyDescent="0.25">
      <c r="Q41" s="336"/>
      <c r="R41" s="337"/>
      <c r="S41" s="337"/>
      <c r="T41" s="338"/>
      <c r="V41" s="336"/>
      <c r="W41" s="337"/>
      <c r="X41" s="337"/>
      <c r="Y41" s="338"/>
    </row>
    <row r="42" spans="17:25" x14ac:dyDescent="0.25">
      <c r="Q42" s="336"/>
      <c r="R42" s="337"/>
      <c r="S42" s="337"/>
      <c r="T42" s="338"/>
      <c r="V42" s="336"/>
      <c r="W42" s="337"/>
      <c r="X42" s="337"/>
      <c r="Y42" s="338"/>
    </row>
    <row r="43" spans="17:25" x14ac:dyDescent="0.25">
      <c r="Q43" s="336"/>
      <c r="R43" s="337"/>
      <c r="S43" s="337"/>
      <c r="T43" s="338"/>
      <c r="V43" s="336"/>
      <c r="W43" s="337"/>
      <c r="X43" s="337"/>
      <c r="Y43" s="338"/>
    </row>
    <row r="44" spans="17:25" x14ac:dyDescent="0.25">
      <c r="Q44" s="336"/>
      <c r="R44" s="337"/>
      <c r="S44" s="337"/>
      <c r="T44" s="338"/>
      <c r="V44" s="336"/>
      <c r="W44" s="337"/>
      <c r="X44" s="337"/>
      <c r="Y44" s="338"/>
    </row>
    <row r="45" spans="17:25" x14ac:dyDescent="0.25">
      <c r="Q45" s="336"/>
      <c r="R45" s="337"/>
      <c r="S45" s="337"/>
      <c r="T45" s="338"/>
      <c r="V45" s="336"/>
      <c r="W45" s="337"/>
      <c r="X45" s="337"/>
      <c r="Y45" s="338"/>
    </row>
    <row r="46" spans="17:25" x14ac:dyDescent="0.25">
      <c r="Q46" s="336"/>
      <c r="R46" s="337"/>
      <c r="S46" s="337"/>
      <c r="T46" s="338"/>
      <c r="V46" s="336"/>
      <c r="W46" s="337"/>
      <c r="X46" s="337"/>
      <c r="Y46" s="338"/>
    </row>
    <row r="47" spans="17:25" x14ac:dyDescent="0.25">
      <c r="Q47" s="336"/>
      <c r="R47" s="337"/>
      <c r="S47" s="337"/>
      <c r="T47" s="338"/>
      <c r="V47" s="336"/>
      <c r="W47" s="337"/>
      <c r="X47" s="337"/>
      <c r="Y47" s="338"/>
    </row>
    <row r="48" spans="17:25" x14ac:dyDescent="0.25">
      <c r="Q48" s="336"/>
      <c r="R48" s="337"/>
      <c r="S48" s="337"/>
      <c r="T48" s="338"/>
      <c r="V48" s="336"/>
      <c r="W48" s="337"/>
      <c r="X48" s="337"/>
      <c r="Y48" s="338"/>
    </row>
    <row r="49" spans="16:26" x14ac:dyDescent="0.25">
      <c r="Q49" s="336"/>
      <c r="R49" s="337"/>
      <c r="S49" s="337"/>
      <c r="T49" s="338"/>
      <c r="V49" s="336"/>
      <c r="W49" s="337"/>
      <c r="X49" s="337"/>
      <c r="Y49" s="338"/>
    </row>
    <row r="50" spans="16:26" x14ac:dyDescent="0.25">
      <c r="Q50" s="336"/>
      <c r="R50" s="337"/>
      <c r="S50" s="337"/>
      <c r="T50" s="338"/>
      <c r="V50" s="336"/>
      <c r="W50" s="337"/>
      <c r="X50" s="337"/>
      <c r="Y50" s="338"/>
    </row>
    <row r="51" spans="16:26" x14ac:dyDescent="0.25">
      <c r="Q51" s="336"/>
      <c r="R51" s="337"/>
      <c r="S51" s="337"/>
      <c r="T51" s="338"/>
      <c r="V51" s="336"/>
      <c r="W51" s="337"/>
      <c r="X51" s="337"/>
      <c r="Y51" s="338"/>
    </row>
    <row r="52" spans="16:26" x14ac:dyDescent="0.25">
      <c r="Q52" s="336"/>
      <c r="R52" s="337"/>
      <c r="S52" s="337"/>
      <c r="T52" s="338"/>
      <c r="V52" s="336"/>
      <c r="W52" s="337"/>
      <c r="X52" s="337"/>
      <c r="Y52" s="338"/>
    </row>
    <row r="53" spans="16:26" x14ac:dyDescent="0.25">
      <c r="Q53" s="336"/>
      <c r="R53" s="337"/>
      <c r="S53" s="337"/>
      <c r="T53" s="338"/>
      <c r="V53" s="336"/>
      <c r="W53" s="337"/>
      <c r="X53" s="337"/>
      <c r="Y53" s="338"/>
    </row>
    <row r="54" spans="16:26" x14ac:dyDescent="0.25">
      <c r="Q54" s="336"/>
      <c r="R54" s="337"/>
      <c r="S54" s="337"/>
      <c r="T54" s="338"/>
      <c r="V54" s="336"/>
      <c r="W54" s="337"/>
      <c r="X54" s="337"/>
      <c r="Y54" s="338"/>
    </row>
    <row r="55" spans="16:26" x14ac:dyDescent="0.25">
      <c r="P55" s="328" t="s">
        <v>35</v>
      </c>
      <c r="Q55" s="336"/>
      <c r="R55" s="337"/>
      <c r="S55" s="337"/>
      <c r="T55" s="338"/>
      <c r="V55" s="336"/>
      <c r="W55" s="337"/>
      <c r="X55" s="337"/>
      <c r="Y55" s="338"/>
      <c r="Z55" s="328" t="s">
        <v>35</v>
      </c>
    </row>
    <row r="56" spans="16:26" ht="15" thickBot="1" x14ac:dyDescent="0.3">
      <c r="P56" s="328"/>
      <c r="Q56" s="339"/>
      <c r="R56" s="340"/>
      <c r="S56" s="340"/>
      <c r="T56" s="341"/>
      <c r="V56" s="339"/>
      <c r="W56" s="340"/>
      <c r="X56" s="340"/>
      <c r="Y56" s="341"/>
      <c r="Z56" s="328"/>
    </row>
  </sheetData>
  <sheetProtection algorithmName="SHA-512" hashValue="DEuvsH8tmao6uj4ElX3JNiAWhqe0zDOLkHt/GJTho5GNbylgoWRgrxO4TADfKxr7g/EPdB9zP243oBv/soNrRg==" saltValue="QvyVBQKHvXXvAIQ3AiCN0g==" spinCount="100000" sheet="1" objects="1" scenarios="1"/>
  <mergeCells count="24">
    <mergeCell ref="A5:A23"/>
    <mergeCell ref="Q6:T6"/>
    <mergeCell ref="Q8:T8"/>
    <mergeCell ref="C2:O2"/>
    <mergeCell ref="C3:O3"/>
    <mergeCell ref="Q5:T5"/>
    <mergeCell ref="D7:D8"/>
    <mergeCell ref="E7:E8"/>
    <mergeCell ref="H7:H8"/>
    <mergeCell ref="K7:K8"/>
    <mergeCell ref="L7:L8"/>
    <mergeCell ref="F7:G7"/>
    <mergeCell ref="M7:N7"/>
    <mergeCell ref="P3:P4"/>
    <mergeCell ref="P5:P7"/>
    <mergeCell ref="P31:P32"/>
    <mergeCell ref="P55:P56"/>
    <mergeCell ref="Z31:Z32"/>
    <mergeCell ref="Q3:T3"/>
    <mergeCell ref="Q4:T4"/>
    <mergeCell ref="Z55:Z56"/>
    <mergeCell ref="Q9:T56"/>
    <mergeCell ref="V9:Y56"/>
    <mergeCell ref="V8:Y8"/>
  </mergeCells>
  <dataValidations disablePrompts="1" count="1">
    <dataValidation type="list" allowBlank="1" showInputMessage="1" showErrorMessage="1" sqref="F25 M25">
      <formula1>"части, грама"</formula1>
    </dataValidation>
  </dataValidations>
  <hyperlinks>
    <hyperlink ref="P3:P4" location="Меню!A1" display="M"/>
    <hyperlink ref="P5:P6" location="Пояснения!A1" display="i"/>
    <hyperlink ref="P10" location="'Произволно количество,(g)|II.2|'!A1" display="II.2"/>
    <hyperlink ref="Z55:Z56" location="'За 1 доза, (g) |I.2|'!A1" display="Ç"/>
    <hyperlink ref="P55:P56" location="'За 1 доза, (g) |I.2|'!A1" display="Ç"/>
    <hyperlink ref="P31:P32" location="'За 1 доза, (g) |I.2|'!A1" display="Ç"/>
    <hyperlink ref="Z31:Z32" location="'За 1 доза, (g) |I.2|'!A1" display="Ç"/>
  </hyperlinks>
  <printOptions horizontalCentered="1"/>
  <pageMargins left="0" right="0" top="0" bottom="0" header="0" footer="0"/>
  <pageSetup paperSize="9" scale="82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2">
    <tabColor theme="6" tint="-0.499984740745262"/>
    <pageSetUpPr fitToPage="1"/>
  </sheetPr>
  <dimension ref="A1:AA60"/>
  <sheetViews>
    <sheetView showGridLines="0" showRowColHeaders="0" showZeros="0" zoomScaleNormal="100" workbookViewId="0"/>
  </sheetViews>
  <sheetFormatPr defaultColWidth="9.140625" defaultRowHeight="14.25" x14ac:dyDescent="0.25"/>
  <cols>
    <col min="1" max="1" width="4" style="1" bestFit="1" customWidth="1"/>
    <col min="2" max="2" width="1.28515625" style="1" customWidth="1"/>
    <col min="3" max="3" width="3.42578125" style="7" bestFit="1" customWidth="1"/>
    <col min="4" max="4" width="15.28515625" style="1" customWidth="1"/>
    <col min="5" max="6" width="11.42578125" style="1" customWidth="1"/>
    <col min="7" max="7" width="7.140625" style="1" customWidth="1"/>
    <col min="8" max="8" width="6.85546875" style="1" customWidth="1"/>
    <col min="9" max="9" width="0.7109375" style="1" customWidth="1"/>
    <col min="10" max="10" width="3.42578125" style="1" bestFit="1" customWidth="1"/>
    <col min="11" max="11" width="14.7109375" style="1" customWidth="1"/>
    <col min="12" max="13" width="11.42578125" style="1" customWidth="1"/>
    <col min="14" max="14" width="7.140625" style="1" customWidth="1"/>
    <col min="15" max="15" width="6.85546875" style="1" customWidth="1"/>
    <col min="16" max="16" width="1.28515625" style="1" customWidth="1"/>
    <col min="17" max="17" width="7.85546875" style="1" bestFit="1" customWidth="1"/>
    <col min="18" max="21" width="9.140625" style="1" customWidth="1"/>
    <col min="22" max="22" width="1.7109375" style="1" customWidth="1"/>
    <col min="23" max="26" width="9.140625" style="1"/>
    <col min="27" max="27" width="7.85546875" style="1" bestFit="1" customWidth="1"/>
    <col min="28" max="16384" width="9.140625" style="1"/>
  </cols>
  <sheetData>
    <row r="1" spans="1:26" ht="7.15" customHeight="1" x14ac:dyDescent="0.25">
      <c r="L1" s="7"/>
    </row>
    <row r="2" spans="1:26" ht="16.5" thickBot="1" x14ac:dyDescent="0.3">
      <c r="C2" s="348" t="s">
        <v>109</v>
      </c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</row>
    <row r="3" spans="1:26" ht="17.25" thickTop="1" x14ac:dyDescent="0.2">
      <c r="C3" s="373">
        <f>'За 1 доза, (g) |I.2|'!C3</f>
        <v>0</v>
      </c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5"/>
      <c r="Q3" s="366" t="s">
        <v>36</v>
      </c>
      <c r="R3" s="329" t="s">
        <v>8</v>
      </c>
      <c r="S3" s="329"/>
      <c r="T3" s="329"/>
      <c r="U3" s="329"/>
    </row>
    <row r="4" spans="1:26" ht="15" thickBot="1" x14ac:dyDescent="0.3">
      <c r="C4" s="124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125"/>
      <c r="Q4" s="366"/>
      <c r="R4" s="330" t="s">
        <v>10</v>
      </c>
      <c r="S4" s="331"/>
      <c r="T4" s="331"/>
      <c r="U4" s="332"/>
    </row>
    <row r="5" spans="1:26" ht="15" x14ac:dyDescent="0.25">
      <c r="A5" s="343" t="s">
        <v>53</v>
      </c>
      <c r="C5" s="124"/>
      <c r="D5" s="388" t="s">
        <v>72</v>
      </c>
      <c r="E5" s="389"/>
      <c r="F5" s="383"/>
      <c r="G5" s="2"/>
      <c r="H5" s="2"/>
      <c r="I5" s="2"/>
      <c r="J5" s="24"/>
      <c r="K5" s="377" t="s">
        <v>16</v>
      </c>
      <c r="L5" s="378"/>
      <c r="M5" s="379"/>
      <c r="N5" s="208"/>
      <c r="O5" s="208"/>
      <c r="P5" s="136"/>
      <c r="Q5" s="370" t="s">
        <v>37</v>
      </c>
      <c r="R5" s="385" t="s">
        <v>9</v>
      </c>
      <c r="S5" s="386"/>
      <c r="T5" s="386"/>
      <c r="U5" s="387"/>
    </row>
    <row r="6" spans="1:26" ht="15.75" thickBot="1" x14ac:dyDescent="0.3">
      <c r="A6" s="343"/>
      <c r="C6" s="124"/>
      <c r="D6" s="356"/>
      <c r="E6" s="390"/>
      <c r="F6" s="384"/>
      <c r="G6" s="2"/>
      <c r="H6" s="2"/>
      <c r="I6" s="2"/>
      <c r="J6" s="24"/>
      <c r="K6" s="381" t="s">
        <v>17</v>
      </c>
      <c r="L6" s="382"/>
      <c r="M6" s="380"/>
      <c r="N6" s="64"/>
      <c r="O6" s="64"/>
      <c r="P6" s="137"/>
      <c r="Q6" s="370"/>
      <c r="R6" s="344" t="s">
        <v>114</v>
      </c>
      <c r="S6" s="345"/>
      <c r="T6" s="345"/>
      <c r="U6" s="346"/>
    </row>
    <row r="7" spans="1:26" ht="15.75" thickBot="1" x14ac:dyDescent="0.3">
      <c r="A7" s="343"/>
      <c r="C7" s="124"/>
      <c r="D7" s="121"/>
      <c r="E7" s="121"/>
      <c r="F7" s="121"/>
      <c r="G7" s="2"/>
      <c r="H7" s="2"/>
      <c r="I7" s="2"/>
      <c r="J7" s="24"/>
      <c r="K7" s="63"/>
      <c r="L7" s="63"/>
      <c r="M7" s="64"/>
      <c r="N7" s="64"/>
      <c r="O7" s="64"/>
      <c r="P7" s="137"/>
      <c r="Q7" s="371"/>
      <c r="R7" s="209"/>
    </row>
    <row r="8" spans="1:26" ht="16.5" thickBot="1" x14ac:dyDescent="0.25">
      <c r="A8" s="343"/>
      <c r="C8" s="124"/>
      <c r="D8" s="376" t="s">
        <v>5</v>
      </c>
      <c r="E8" s="376"/>
      <c r="F8" s="376"/>
      <c r="G8" s="363" t="s">
        <v>14</v>
      </c>
      <c r="H8" s="364"/>
      <c r="I8" s="2"/>
      <c r="J8" s="24"/>
      <c r="K8" s="372" t="s">
        <v>5</v>
      </c>
      <c r="L8" s="372"/>
      <c r="M8" s="372"/>
      <c r="N8" s="363" t="s">
        <v>14</v>
      </c>
      <c r="O8" s="364"/>
      <c r="P8" s="137"/>
      <c r="Q8" s="280" t="s">
        <v>50</v>
      </c>
      <c r="R8" s="369" t="s">
        <v>11</v>
      </c>
      <c r="S8" s="369"/>
      <c r="T8" s="369"/>
      <c r="U8" s="369"/>
      <c r="W8" s="342" t="s">
        <v>57</v>
      </c>
      <c r="X8" s="369"/>
      <c r="Y8" s="369"/>
      <c r="Z8" s="369"/>
    </row>
    <row r="9" spans="1:26" ht="15.75" thickBot="1" x14ac:dyDescent="0.3">
      <c r="A9" s="343"/>
      <c r="C9" s="124"/>
      <c r="D9" s="168" t="s">
        <v>3</v>
      </c>
      <c r="E9" s="169" t="s">
        <v>6</v>
      </c>
      <c r="F9" s="170" t="s">
        <v>7</v>
      </c>
      <c r="G9" s="237" t="s">
        <v>13</v>
      </c>
      <c r="H9" s="238" t="s">
        <v>12</v>
      </c>
      <c r="I9" s="2"/>
      <c r="J9" s="24"/>
      <c r="K9" s="168" t="s">
        <v>3</v>
      </c>
      <c r="L9" s="169" t="s">
        <v>6</v>
      </c>
      <c r="M9" s="170" t="s">
        <v>7</v>
      </c>
      <c r="N9" s="237" t="s">
        <v>13</v>
      </c>
      <c r="O9" s="238" t="s">
        <v>12</v>
      </c>
      <c r="P9" s="137"/>
      <c r="Q9" s="174" t="s">
        <v>51</v>
      </c>
      <c r="R9" s="333"/>
      <c r="S9" s="334"/>
      <c r="T9" s="334"/>
      <c r="U9" s="335"/>
      <c r="W9" s="333"/>
      <c r="X9" s="334"/>
      <c r="Y9" s="334"/>
      <c r="Z9" s="335"/>
    </row>
    <row r="10" spans="1:26" x14ac:dyDescent="0.25">
      <c r="A10" s="343"/>
      <c r="C10" s="124">
        <f>C9+1</f>
        <v>1</v>
      </c>
      <c r="D10" s="52" t="str">
        <f>'За 1 доза, (g) |I.2|'!D9</f>
        <v>… Брашно …</v>
      </c>
      <c r="E10" s="6" t="s">
        <v>2</v>
      </c>
      <c r="F10" s="54">
        <f>IFERROR(F5/(SUM(E11:E23)+100%),"")</f>
        <v>0</v>
      </c>
      <c r="G10" s="214"/>
      <c r="H10" s="215"/>
      <c r="I10" s="2"/>
      <c r="J10" s="24">
        <f>J9+1</f>
        <v>1</v>
      </c>
      <c r="K10" s="52" t="str">
        <f>'За 1 доза, (g) |I.2|'!D9</f>
        <v>… Брашно …</v>
      </c>
      <c r="L10" s="65" t="s">
        <v>2</v>
      </c>
      <c r="M10" s="54">
        <f>$M$5</f>
        <v>0</v>
      </c>
      <c r="N10" s="214"/>
      <c r="O10" s="215"/>
      <c r="P10" s="138"/>
      <c r="R10" s="336"/>
      <c r="S10" s="337"/>
      <c r="T10" s="337"/>
      <c r="U10" s="338"/>
      <c r="W10" s="336"/>
      <c r="X10" s="337"/>
      <c r="Y10" s="337"/>
      <c r="Z10" s="338"/>
    </row>
    <row r="11" spans="1:26" ht="15" x14ac:dyDescent="0.25">
      <c r="A11" s="343"/>
      <c r="C11" s="124">
        <f t="shared" ref="C11:C23" si="0">C10+1</f>
        <v>2</v>
      </c>
      <c r="D11" s="26">
        <f>'За 1 доза, (g) |I.2|'!D10</f>
        <v>0</v>
      </c>
      <c r="E11" s="27" t="str">
        <f>'За 1 доза, (g) |I.2|'!H10</f>
        <v/>
      </c>
      <c r="F11" s="4" t="str">
        <f>IFERROR($F$10*E11,"")</f>
        <v/>
      </c>
      <c r="G11" s="216"/>
      <c r="H11" s="217"/>
      <c r="I11" s="2"/>
      <c r="J11" s="24">
        <f t="shared" ref="J11:J23" si="1">J10+1</f>
        <v>2</v>
      </c>
      <c r="K11" s="70">
        <f>'За 1 доза, (g) |I.2|'!D10</f>
        <v>0</v>
      </c>
      <c r="L11" s="71" t="str">
        <f>'За 1 доза, (g) |I.2|'!H10</f>
        <v/>
      </c>
      <c r="M11" s="66" t="str">
        <f>IFERROR(L11*$M$5,"")</f>
        <v/>
      </c>
      <c r="N11" s="216"/>
      <c r="O11" s="217"/>
      <c r="P11" s="139"/>
      <c r="R11" s="336"/>
      <c r="S11" s="337"/>
      <c r="T11" s="337"/>
      <c r="U11" s="338"/>
      <c r="W11" s="336"/>
      <c r="X11" s="337"/>
      <c r="Y11" s="337"/>
      <c r="Z11" s="338"/>
    </row>
    <row r="12" spans="1:26" x14ac:dyDescent="0.25">
      <c r="A12" s="343"/>
      <c r="C12" s="124">
        <f t="shared" si="0"/>
        <v>3</v>
      </c>
      <c r="D12" s="26">
        <f>'За 1 доза, (g) |I.2|'!D11</f>
        <v>0</v>
      </c>
      <c r="E12" s="27" t="str">
        <f>'За 1 доза, (g) |I.2|'!H11</f>
        <v/>
      </c>
      <c r="F12" s="4" t="str">
        <f t="shared" ref="F12:F23" si="2">IFERROR($F$10*E12,"")</f>
        <v/>
      </c>
      <c r="G12" s="216"/>
      <c r="H12" s="218"/>
      <c r="I12" s="2"/>
      <c r="J12" s="24">
        <f t="shared" si="1"/>
        <v>3</v>
      </c>
      <c r="K12" s="26">
        <f>'За 1 доза, (g) |I.2|'!D11</f>
        <v>0</v>
      </c>
      <c r="L12" s="71" t="str">
        <f>'За 1 доза, (g) |I.2|'!H11</f>
        <v/>
      </c>
      <c r="M12" s="66" t="str">
        <f t="shared" ref="M12:M23" si="3">IFERROR(L12*$M$5,"")</f>
        <v/>
      </c>
      <c r="N12" s="216"/>
      <c r="O12" s="218"/>
      <c r="P12" s="140"/>
      <c r="R12" s="336"/>
      <c r="S12" s="337"/>
      <c r="T12" s="337"/>
      <c r="U12" s="338"/>
      <c r="W12" s="336"/>
      <c r="X12" s="337"/>
      <c r="Y12" s="337"/>
      <c r="Z12" s="338"/>
    </row>
    <row r="13" spans="1:26" x14ac:dyDescent="0.25">
      <c r="A13" s="343"/>
      <c r="C13" s="124">
        <f t="shared" si="0"/>
        <v>4</v>
      </c>
      <c r="D13" s="26">
        <f>'За 1 доза, (g) |I.2|'!D12</f>
        <v>0</v>
      </c>
      <c r="E13" s="27" t="str">
        <f>'За 1 доза, (g) |I.2|'!H12</f>
        <v/>
      </c>
      <c r="F13" s="4" t="str">
        <f t="shared" si="2"/>
        <v/>
      </c>
      <c r="G13" s="216"/>
      <c r="H13" s="217"/>
      <c r="I13" s="2"/>
      <c r="J13" s="24">
        <f t="shared" si="1"/>
        <v>4</v>
      </c>
      <c r="K13" s="26">
        <f>'За 1 доза, (g) |I.2|'!D12</f>
        <v>0</v>
      </c>
      <c r="L13" s="71" t="str">
        <f>'За 1 доза, (g) |I.2|'!H12</f>
        <v/>
      </c>
      <c r="M13" s="66" t="str">
        <f t="shared" si="3"/>
        <v/>
      </c>
      <c r="N13" s="216"/>
      <c r="O13" s="217"/>
      <c r="P13" s="140"/>
      <c r="R13" s="336"/>
      <c r="S13" s="337"/>
      <c r="T13" s="337"/>
      <c r="U13" s="338"/>
      <c r="W13" s="336"/>
      <c r="X13" s="337"/>
      <c r="Y13" s="337"/>
      <c r="Z13" s="338"/>
    </row>
    <row r="14" spans="1:26" x14ac:dyDescent="0.25">
      <c r="A14" s="343"/>
      <c r="C14" s="124">
        <f t="shared" si="0"/>
        <v>5</v>
      </c>
      <c r="D14" s="26">
        <f>'За 1 доза, (g) |I.2|'!D13</f>
        <v>0</v>
      </c>
      <c r="E14" s="27" t="str">
        <f>'За 1 доза, (g) |I.2|'!H13</f>
        <v/>
      </c>
      <c r="F14" s="4" t="str">
        <f t="shared" si="2"/>
        <v/>
      </c>
      <c r="G14" s="216"/>
      <c r="H14" s="228"/>
      <c r="I14" s="2"/>
      <c r="J14" s="24">
        <f t="shared" si="1"/>
        <v>5</v>
      </c>
      <c r="K14" s="26">
        <f>'За 1 доза, (g) |I.2|'!D13</f>
        <v>0</v>
      </c>
      <c r="L14" s="71" t="str">
        <f>'За 1 доза, (g) |I.2|'!H13</f>
        <v/>
      </c>
      <c r="M14" s="66" t="str">
        <f t="shared" si="3"/>
        <v/>
      </c>
      <c r="N14" s="216"/>
      <c r="O14" s="228"/>
      <c r="P14" s="140"/>
      <c r="R14" s="336"/>
      <c r="S14" s="337"/>
      <c r="T14" s="337"/>
      <c r="U14" s="338"/>
      <c r="W14" s="336"/>
      <c r="X14" s="337"/>
      <c r="Y14" s="337"/>
      <c r="Z14" s="338"/>
    </row>
    <row r="15" spans="1:26" x14ac:dyDescent="0.25">
      <c r="A15" s="343"/>
      <c r="C15" s="124">
        <f t="shared" si="0"/>
        <v>6</v>
      </c>
      <c r="D15" s="26">
        <f>'За 1 доза, (g) |I.2|'!D14</f>
        <v>0</v>
      </c>
      <c r="E15" s="27" t="str">
        <f>'За 1 доза, (g) |I.2|'!H14</f>
        <v/>
      </c>
      <c r="F15" s="4" t="str">
        <f t="shared" si="2"/>
        <v/>
      </c>
      <c r="G15" s="216"/>
      <c r="H15" s="218"/>
      <c r="I15" s="2"/>
      <c r="J15" s="24">
        <f t="shared" si="1"/>
        <v>6</v>
      </c>
      <c r="K15" s="26">
        <f>'За 1 доза, (g) |I.2|'!D14</f>
        <v>0</v>
      </c>
      <c r="L15" s="71" t="str">
        <f>'За 1 доза, (g) |I.2|'!H14</f>
        <v/>
      </c>
      <c r="M15" s="66" t="str">
        <f t="shared" si="3"/>
        <v/>
      </c>
      <c r="N15" s="216"/>
      <c r="O15" s="218"/>
      <c r="P15" s="140"/>
      <c r="R15" s="336"/>
      <c r="S15" s="337"/>
      <c r="T15" s="337"/>
      <c r="U15" s="338"/>
      <c r="W15" s="336"/>
      <c r="X15" s="337"/>
      <c r="Y15" s="337"/>
      <c r="Z15" s="338"/>
    </row>
    <row r="16" spans="1:26" x14ac:dyDescent="0.25">
      <c r="A16" s="343"/>
      <c r="C16" s="124">
        <f t="shared" si="0"/>
        <v>7</v>
      </c>
      <c r="D16" s="26">
        <f>'За 1 доза, (g) |I.2|'!D15</f>
        <v>0</v>
      </c>
      <c r="E16" s="27" t="str">
        <f>'За 1 доза, (g) |I.2|'!H15</f>
        <v/>
      </c>
      <c r="F16" s="4" t="str">
        <f t="shared" si="2"/>
        <v/>
      </c>
      <c r="G16" s="220"/>
      <c r="H16" s="221"/>
      <c r="I16" s="2"/>
      <c r="J16" s="24">
        <f t="shared" si="1"/>
        <v>7</v>
      </c>
      <c r="K16" s="26">
        <f>'За 1 доза, (g) |I.2|'!D15</f>
        <v>0</v>
      </c>
      <c r="L16" s="71" t="str">
        <f>'За 1 доза, (g) |I.2|'!H15</f>
        <v/>
      </c>
      <c r="M16" s="66" t="str">
        <f t="shared" si="3"/>
        <v/>
      </c>
      <c r="N16" s="220"/>
      <c r="O16" s="221"/>
      <c r="P16" s="140"/>
      <c r="R16" s="336"/>
      <c r="S16" s="337"/>
      <c r="T16" s="337"/>
      <c r="U16" s="338"/>
      <c r="W16" s="336"/>
      <c r="X16" s="337"/>
      <c r="Y16" s="337"/>
      <c r="Z16" s="338"/>
    </row>
    <row r="17" spans="1:26" x14ac:dyDescent="0.25">
      <c r="A17" s="343"/>
      <c r="C17" s="124">
        <f t="shared" si="0"/>
        <v>8</v>
      </c>
      <c r="D17" s="26">
        <f>'За 1 доза, (g) |I.2|'!D16</f>
        <v>0</v>
      </c>
      <c r="E17" s="27" t="str">
        <f>'За 1 доза, (g) |I.2|'!H16</f>
        <v/>
      </c>
      <c r="F17" s="4" t="str">
        <f t="shared" si="2"/>
        <v/>
      </c>
      <c r="G17" s="220"/>
      <c r="H17" s="221"/>
      <c r="I17" s="2"/>
      <c r="J17" s="24">
        <f t="shared" si="1"/>
        <v>8</v>
      </c>
      <c r="K17" s="26">
        <f>'За 1 доза, (g) |I.2|'!D16</f>
        <v>0</v>
      </c>
      <c r="L17" s="71" t="str">
        <f>'За 1 доза, (g) |I.2|'!H16</f>
        <v/>
      </c>
      <c r="M17" s="66" t="str">
        <f t="shared" si="3"/>
        <v/>
      </c>
      <c r="N17" s="220"/>
      <c r="O17" s="221"/>
      <c r="P17" s="140"/>
      <c r="R17" s="336"/>
      <c r="S17" s="337"/>
      <c r="T17" s="337"/>
      <c r="U17" s="338"/>
      <c r="W17" s="336"/>
      <c r="X17" s="337"/>
      <c r="Y17" s="337"/>
      <c r="Z17" s="338"/>
    </row>
    <row r="18" spans="1:26" x14ac:dyDescent="0.25">
      <c r="A18" s="343"/>
      <c r="C18" s="124">
        <f t="shared" si="0"/>
        <v>9</v>
      </c>
      <c r="D18" s="26">
        <f>'За 1 доза, (g) |I.2|'!D17</f>
        <v>0</v>
      </c>
      <c r="E18" s="27" t="str">
        <f>'За 1 доза, (g) |I.2|'!H17</f>
        <v/>
      </c>
      <c r="F18" s="4" t="str">
        <f t="shared" si="2"/>
        <v/>
      </c>
      <c r="G18" s="220"/>
      <c r="H18" s="221"/>
      <c r="I18" s="2"/>
      <c r="J18" s="24">
        <f t="shared" si="1"/>
        <v>9</v>
      </c>
      <c r="K18" s="26">
        <f>'За 1 доза, (g) |I.2|'!D17</f>
        <v>0</v>
      </c>
      <c r="L18" s="71" t="str">
        <f>'За 1 доза, (g) |I.2|'!H17</f>
        <v/>
      </c>
      <c r="M18" s="66" t="str">
        <f t="shared" si="3"/>
        <v/>
      </c>
      <c r="N18" s="220"/>
      <c r="O18" s="221"/>
      <c r="P18" s="140"/>
      <c r="R18" s="336"/>
      <c r="S18" s="337"/>
      <c r="T18" s="337"/>
      <c r="U18" s="338"/>
      <c r="W18" s="336"/>
      <c r="X18" s="337"/>
      <c r="Y18" s="337"/>
      <c r="Z18" s="338"/>
    </row>
    <row r="19" spans="1:26" x14ac:dyDescent="0.25">
      <c r="A19" s="343"/>
      <c r="C19" s="124">
        <f t="shared" si="0"/>
        <v>10</v>
      </c>
      <c r="D19" s="26">
        <f>'За 1 доза, (g) |I.2|'!D18</f>
        <v>0</v>
      </c>
      <c r="E19" s="27" t="str">
        <f>'За 1 доза, (g) |I.2|'!H18</f>
        <v/>
      </c>
      <c r="F19" s="4" t="str">
        <f t="shared" si="2"/>
        <v/>
      </c>
      <c r="G19" s="220"/>
      <c r="H19" s="221"/>
      <c r="I19" s="2"/>
      <c r="J19" s="24">
        <f t="shared" si="1"/>
        <v>10</v>
      </c>
      <c r="K19" s="26">
        <f>'За 1 доза, (g) |I.2|'!D18</f>
        <v>0</v>
      </c>
      <c r="L19" s="71" t="str">
        <f>'За 1 доза, (g) |I.2|'!H18</f>
        <v/>
      </c>
      <c r="M19" s="66" t="str">
        <f t="shared" si="3"/>
        <v/>
      </c>
      <c r="N19" s="220"/>
      <c r="O19" s="221"/>
      <c r="P19" s="140"/>
      <c r="R19" s="336"/>
      <c r="S19" s="337"/>
      <c r="T19" s="337"/>
      <c r="U19" s="338"/>
      <c r="W19" s="336"/>
      <c r="X19" s="337"/>
      <c r="Y19" s="337"/>
      <c r="Z19" s="338"/>
    </row>
    <row r="20" spans="1:26" x14ac:dyDescent="0.25">
      <c r="A20" s="343"/>
      <c r="C20" s="124">
        <f t="shared" si="0"/>
        <v>11</v>
      </c>
      <c r="D20" s="26">
        <f>'За 1 доза, (g) |I.2|'!D19</f>
        <v>0</v>
      </c>
      <c r="E20" s="27" t="str">
        <f>'За 1 доза, (g) |I.2|'!H19</f>
        <v/>
      </c>
      <c r="F20" s="4" t="str">
        <f t="shared" si="2"/>
        <v/>
      </c>
      <c r="G20" s="220"/>
      <c r="H20" s="221"/>
      <c r="I20" s="2"/>
      <c r="J20" s="24">
        <f t="shared" si="1"/>
        <v>11</v>
      </c>
      <c r="K20" s="26">
        <f>'За 1 доза, (g) |I.2|'!D19</f>
        <v>0</v>
      </c>
      <c r="L20" s="71" t="str">
        <f>'За 1 доза, (g) |I.2|'!H19</f>
        <v/>
      </c>
      <c r="M20" s="66" t="str">
        <f t="shared" si="3"/>
        <v/>
      </c>
      <c r="N20" s="220"/>
      <c r="O20" s="221"/>
      <c r="P20" s="140"/>
      <c r="R20" s="336"/>
      <c r="S20" s="337"/>
      <c r="T20" s="337"/>
      <c r="U20" s="338"/>
      <c r="W20" s="336"/>
      <c r="X20" s="337"/>
      <c r="Y20" s="337"/>
      <c r="Z20" s="338"/>
    </row>
    <row r="21" spans="1:26" x14ac:dyDescent="0.25">
      <c r="A21" s="343"/>
      <c r="C21" s="124">
        <f t="shared" si="0"/>
        <v>12</v>
      </c>
      <c r="D21" s="26">
        <f>'За 1 доза, (g) |I.2|'!D20</f>
        <v>0</v>
      </c>
      <c r="E21" s="27" t="str">
        <f>'За 1 доза, (g) |I.2|'!H20</f>
        <v/>
      </c>
      <c r="F21" s="4" t="str">
        <f t="shared" si="2"/>
        <v/>
      </c>
      <c r="G21" s="220"/>
      <c r="H21" s="218"/>
      <c r="I21" s="2"/>
      <c r="J21" s="24">
        <f t="shared" si="1"/>
        <v>12</v>
      </c>
      <c r="K21" s="26">
        <f>'За 1 доза, (g) |I.2|'!D20</f>
        <v>0</v>
      </c>
      <c r="L21" s="71" t="str">
        <f>'За 1 доза, (g) |I.2|'!H20</f>
        <v/>
      </c>
      <c r="M21" s="66" t="str">
        <f t="shared" si="3"/>
        <v/>
      </c>
      <c r="N21" s="220"/>
      <c r="O21" s="218"/>
      <c r="P21" s="140"/>
      <c r="R21" s="336"/>
      <c r="S21" s="337"/>
      <c r="T21" s="337"/>
      <c r="U21" s="338"/>
      <c r="W21" s="336"/>
      <c r="X21" s="337"/>
      <c r="Y21" s="337"/>
      <c r="Z21" s="338"/>
    </row>
    <row r="22" spans="1:26" x14ac:dyDescent="0.25">
      <c r="A22" s="343"/>
      <c r="C22" s="124">
        <f t="shared" si="0"/>
        <v>13</v>
      </c>
      <c r="D22" s="26">
        <f>'За 1 доза, (g) |I.2|'!D21</f>
        <v>0</v>
      </c>
      <c r="E22" s="27" t="str">
        <f>'За 1 доза, (g) |I.2|'!H21</f>
        <v/>
      </c>
      <c r="F22" s="4" t="str">
        <f t="shared" si="2"/>
        <v/>
      </c>
      <c r="G22" s="220"/>
      <c r="H22" s="221"/>
      <c r="I22" s="2"/>
      <c r="J22" s="24">
        <f t="shared" si="1"/>
        <v>13</v>
      </c>
      <c r="K22" s="26">
        <f>'За 1 доза, (g) |I.2|'!D21</f>
        <v>0</v>
      </c>
      <c r="L22" s="71" t="str">
        <f>'За 1 доза, (g) |I.2|'!H21</f>
        <v/>
      </c>
      <c r="M22" s="66" t="str">
        <f t="shared" si="3"/>
        <v/>
      </c>
      <c r="N22" s="220"/>
      <c r="O22" s="221"/>
      <c r="P22" s="140"/>
      <c r="R22" s="336"/>
      <c r="S22" s="337"/>
      <c r="T22" s="337"/>
      <c r="U22" s="338"/>
      <c r="W22" s="336"/>
      <c r="X22" s="337"/>
      <c r="Y22" s="337"/>
      <c r="Z22" s="338"/>
    </row>
    <row r="23" spans="1:26" ht="15" thickBot="1" x14ac:dyDescent="0.3">
      <c r="A23" s="343"/>
      <c r="C23" s="124">
        <f t="shared" si="0"/>
        <v>14</v>
      </c>
      <c r="D23" s="28">
        <f>'За 1 доза, (g) |I.2|'!D22</f>
        <v>0</v>
      </c>
      <c r="E23" s="29" t="str">
        <f>'За 1 доза, (g) |I.2|'!H22</f>
        <v/>
      </c>
      <c r="F23" s="5" t="str">
        <f t="shared" si="2"/>
        <v/>
      </c>
      <c r="G23" s="222"/>
      <c r="H23" s="223"/>
      <c r="I23" s="2"/>
      <c r="J23" s="24">
        <f t="shared" si="1"/>
        <v>14</v>
      </c>
      <c r="K23" s="28">
        <f>'За 1 доза, (g) |I.2|'!D22</f>
        <v>0</v>
      </c>
      <c r="L23" s="72" t="str">
        <f>'За 1 доза, (g) |I.2|'!H22</f>
        <v/>
      </c>
      <c r="M23" s="67" t="str">
        <f t="shared" si="3"/>
        <v/>
      </c>
      <c r="N23" s="222"/>
      <c r="O23" s="223"/>
      <c r="P23" s="140"/>
      <c r="R23" s="336"/>
      <c r="S23" s="337"/>
      <c r="T23" s="337"/>
      <c r="U23" s="338"/>
      <c r="W23" s="336"/>
      <c r="X23" s="337"/>
      <c r="Y23" s="337"/>
      <c r="Z23" s="338"/>
    </row>
    <row r="24" spans="1:26" ht="15" thickBot="1" x14ac:dyDescent="0.3">
      <c r="A24" s="343"/>
      <c r="C24" s="129"/>
      <c r="D24" s="133"/>
      <c r="E24" s="141" t="s">
        <v>1</v>
      </c>
      <c r="F24" s="131">
        <f>SUM(F10:F23)</f>
        <v>0</v>
      </c>
      <c r="G24" s="133"/>
      <c r="H24" s="133"/>
      <c r="I24" s="133"/>
      <c r="J24" s="134"/>
      <c r="K24" s="142"/>
      <c r="L24" s="141" t="s">
        <v>1</v>
      </c>
      <c r="M24" s="131">
        <f>SUM(M10:M23)</f>
        <v>0</v>
      </c>
      <c r="N24" s="210"/>
      <c r="O24" s="210"/>
      <c r="P24" s="143"/>
      <c r="R24" s="336"/>
      <c r="S24" s="337"/>
      <c r="T24" s="337"/>
      <c r="U24" s="338"/>
      <c r="W24" s="336"/>
      <c r="X24" s="337"/>
      <c r="Y24" s="337"/>
      <c r="Z24" s="338"/>
    </row>
    <row r="25" spans="1:26" ht="16.5" thickTop="1" x14ac:dyDescent="0.25">
      <c r="F25" s="111" t="s">
        <v>55</v>
      </c>
      <c r="M25" s="111" t="s">
        <v>55</v>
      </c>
      <c r="N25" s="62"/>
      <c r="O25" s="62"/>
      <c r="P25" s="62"/>
      <c r="R25" s="336"/>
      <c r="S25" s="337"/>
      <c r="T25" s="337"/>
      <c r="U25" s="338"/>
      <c r="W25" s="336"/>
      <c r="X25" s="337"/>
      <c r="Y25" s="337"/>
      <c r="Z25" s="338"/>
    </row>
    <row r="26" spans="1:26" x14ac:dyDescent="0.25">
      <c r="F26" s="213"/>
      <c r="G26" s="229" t="s">
        <v>112</v>
      </c>
      <c r="M26" s="213"/>
      <c r="N26" s="229" t="s">
        <v>112</v>
      </c>
      <c r="R26" s="336"/>
      <c r="S26" s="337"/>
      <c r="T26" s="337"/>
      <c r="U26" s="338"/>
      <c r="W26" s="336"/>
      <c r="X26" s="337"/>
      <c r="Y26" s="337"/>
      <c r="Z26" s="338"/>
    </row>
    <row r="27" spans="1:26" ht="15" x14ac:dyDescent="0.25">
      <c r="F27" s="112" t="s">
        <v>56</v>
      </c>
      <c r="M27" s="112" t="s">
        <v>56</v>
      </c>
      <c r="R27" s="336"/>
      <c r="S27" s="337"/>
      <c r="T27" s="337"/>
      <c r="U27" s="338"/>
      <c r="W27" s="336"/>
      <c r="X27" s="337"/>
      <c r="Y27" s="337"/>
      <c r="Z27" s="338"/>
    </row>
    <row r="28" spans="1:26" ht="15" x14ac:dyDescent="0.25">
      <c r="F28" s="212" t="str">
        <f>IFERROR(F24/F26,"")</f>
        <v/>
      </c>
      <c r="G28" s="230" t="str">
        <f>IF(G26="части","грама",(IF(G26="грама","части","")))</f>
        <v>грама</v>
      </c>
      <c r="M28" s="212" t="str">
        <f>IFERROR(M24/M26,"")</f>
        <v/>
      </c>
      <c r="N28" s="230" t="str">
        <f>IF(N26="части","грама",(IF(N26="грама","части","")))</f>
        <v>грама</v>
      </c>
      <c r="R28" s="336"/>
      <c r="S28" s="337"/>
      <c r="T28" s="337"/>
      <c r="U28" s="338"/>
      <c r="W28" s="336"/>
      <c r="X28" s="337"/>
      <c r="Y28" s="337"/>
      <c r="Z28" s="338"/>
    </row>
    <row r="29" spans="1:26" x14ac:dyDescent="0.25">
      <c r="R29" s="336"/>
      <c r="S29" s="337"/>
      <c r="T29" s="337"/>
      <c r="U29" s="338"/>
      <c r="W29" s="336"/>
      <c r="X29" s="337"/>
      <c r="Y29" s="337"/>
      <c r="Z29" s="338"/>
    </row>
    <row r="30" spans="1:26" x14ac:dyDescent="0.25">
      <c r="R30" s="336"/>
      <c r="S30" s="337"/>
      <c r="T30" s="337"/>
      <c r="U30" s="338"/>
      <c r="W30" s="336"/>
      <c r="X30" s="337"/>
      <c r="Y30" s="337"/>
      <c r="Z30" s="338"/>
    </row>
    <row r="31" spans="1:26" x14ac:dyDescent="0.25">
      <c r="R31" s="336"/>
      <c r="S31" s="337"/>
      <c r="T31" s="337"/>
      <c r="U31" s="338"/>
      <c r="W31" s="336"/>
      <c r="X31" s="337"/>
      <c r="Y31" s="337"/>
      <c r="Z31" s="338"/>
    </row>
    <row r="32" spans="1:26" x14ac:dyDescent="0.25">
      <c r="R32" s="336"/>
      <c r="S32" s="337"/>
      <c r="T32" s="337"/>
      <c r="U32" s="338"/>
      <c r="W32" s="336"/>
      <c r="X32" s="337"/>
      <c r="Y32" s="337"/>
      <c r="Z32" s="338"/>
    </row>
    <row r="33" spans="17:27" x14ac:dyDescent="0.25">
      <c r="Q33" s="328" t="s">
        <v>35</v>
      </c>
      <c r="R33" s="336"/>
      <c r="S33" s="337"/>
      <c r="T33" s="337"/>
      <c r="U33" s="338"/>
      <c r="W33" s="336"/>
      <c r="X33" s="337"/>
      <c r="Y33" s="337"/>
      <c r="Z33" s="338"/>
      <c r="AA33" s="328" t="s">
        <v>35</v>
      </c>
    </row>
    <row r="34" spans="17:27" x14ac:dyDescent="0.25">
      <c r="Q34" s="328"/>
      <c r="R34" s="336"/>
      <c r="S34" s="337"/>
      <c r="T34" s="337"/>
      <c r="U34" s="338"/>
      <c r="W34" s="336"/>
      <c r="X34" s="337"/>
      <c r="Y34" s="337"/>
      <c r="Z34" s="338"/>
      <c r="AA34" s="328"/>
    </row>
    <row r="35" spans="17:27" x14ac:dyDescent="0.25">
      <c r="R35" s="336"/>
      <c r="S35" s="337"/>
      <c r="T35" s="337"/>
      <c r="U35" s="338"/>
      <c r="W35" s="336"/>
      <c r="X35" s="337"/>
      <c r="Y35" s="337"/>
      <c r="Z35" s="338"/>
    </row>
    <row r="36" spans="17:27" x14ac:dyDescent="0.25">
      <c r="R36" s="336"/>
      <c r="S36" s="337"/>
      <c r="T36" s="337"/>
      <c r="U36" s="338"/>
      <c r="W36" s="336"/>
      <c r="X36" s="337"/>
      <c r="Y36" s="337"/>
      <c r="Z36" s="338"/>
    </row>
    <row r="37" spans="17:27" x14ac:dyDescent="0.25">
      <c r="R37" s="336"/>
      <c r="S37" s="337"/>
      <c r="T37" s="337"/>
      <c r="U37" s="338"/>
      <c r="W37" s="336"/>
      <c r="X37" s="337"/>
      <c r="Y37" s="337"/>
      <c r="Z37" s="338"/>
    </row>
    <row r="38" spans="17:27" x14ac:dyDescent="0.25">
      <c r="R38" s="336"/>
      <c r="S38" s="337"/>
      <c r="T38" s="337"/>
      <c r="U38" s="338"/>
      <c r="W38" s="336"/>
      <c r="X38" s="337"/>
      <c r="Y38" s="337"/>
      <c r="Z38" s="338"/>
    </row>
    <row r="39" spans="17:27" x14ac:dyDescent="0.25">
      <c r="R39" s="336"/>
      <c r="S39" s="337"/>
      <c r="T39" s="337"/>
      <c r="U39" s="338"/>
      <c r="W39" s="336"/>
      <c r="X39" s="337"/>
      <c r="Y39" s="337"/>
      <c r="Z39" s="338"/>
    </row>
    <row r="40" spans="17:27" x14ac:dyDescent="0.25">
      <c r="R40" s="336"/>
      <c r="S40" s="337"/>
      <c r="T40" s="337"/>
      <c r="U40" s="338"/>
      <c r="W40" s="336"/>
      <c r="X40" s="337"/>
      <c r="Y40" s="337"/>
      <c r="Z40" s="338"/>
    </row>
    <row r="41" spans="17:27" x14ac:dyDescent="0.25">
      <c r="R41" s="336"/>
      <c r="S41" s="337"/>
      <c r="T41" s="337"/>
      <c r="U41" s="338"/>
      <c r="W41" s="336"/>
      <c r="X41" s="337"/>
      <c r="Y41" s="337"/>
      <c r="Z41" s="338"/>
    </row>
    <row r="42" spans="17:27" x14ac:dyDescent="0.25">
      <c r="R42" s="336"/>
      <c r="S42" s="337"/>
      <c r="T42" s="337"/>
      <c r="U42" s="338"/>
      <c r="W42" s="336"/>
      <c r="X42" s="337"/>
      <c r="Y42" s="337"/>
      <c r="Z42" s="338"/>
    </row>
    <row r="43" spans="17:27" x14ac:dyDescent="0.25">
      <c r="R43" s="336"/>
      <c r="S43" s="337"/>
      <c r="T43" s="337"/>
      <c r="U43" s="338"/>
      <c r="W43" s="336"/>
      <c r="X43" s="337"/>
      <c r="Y43" s="337"/>
      <c r="Z43" s="338"/>
    </row>
    <row r="44" spans="17:27" x14ac:dyDescent="0.25">
      <c r="R44" s="336"/>
      <c r="S44" s="337"/>
      <c r="T44" s="337"/>
      <c r="U44" s="338"/>
      <c r="W44" s="336"/>
      <c r="X44" s="337"/>
      <c r="Y44" s="337"/>
      <c r="Z44" s="338"/>
    </row>
    <row r="45" spans="17:27" x14ac:dyDescent="0.25">
      <c r="R45" s="336"/>
      <c r="S45" s="337"/>
      <c r="T45" s="337"/>
      <c r="U45" s="338"/>
      <c r="W45" s="336"/>
      <c r="X45" s="337"/>
      <c r="Y45" s="337"/>
      <c r="Z45" s="338"/>
    </row>
    <row r="46" spans="17:27" x14ac:dyDescent="0.25">
      <c r="R46" s="336"/>
      <c r="S46" s="337"/>
      <c r="T46" s="337"/>
      <c r="U46" s="338"/>
      <c r="W46" s="336"/>
      <c r="X46" s="337"/>
      <c r="Y46" s="337"/>
      <c r="Z46" s="338"/>
    </row>
    <row r="47" spans="17:27" x14ac:dyDescent="0.25">
      <c r="R47" s="336"/>
      <c r="S47" s="337"/>
      <c r="T47" s="337"/>
      <c r="U47" s="338"/>
      <c r="W47" s="336"/>
      <c r="X47" s="337"/>
      <c r="Y47" s="337"/>
      <c r="Z47" s="338"/>
    </row>
    <row r="48" spans="17:27" x14ac:dyDescent="0.25">
      <c r="R48" s="336"/>
      <c r="S48" s="337"/>
      <c r="T48" s="337"/>
      <c r="U48" s="338"/>
      <c r="W48" s="336"/>
      <c r="X48" s="337"/>
      <c r="Y48" s="337"/>
      <c r="Z48" s="338"/>
    </row>
    <row r="49" spans="17:27" x14ac:dyDescent="0.25">
      <c r="R49" s="336"/>
      <c r="S49" s="337"/>
      <c r="T49" s="337"/>
      <c r="U49" s="338"/>
      <c r="W49" s="336"/>
      <c r="X49" s="337"/>
      <c r="Y49" s="337"/>
      <c r="Z49" s="338"/>
    </row>
    <row r="50" spans="17:27" x14ac:dyDescent="0.25">
      <c r="R50" s="336"/>
      <c r="S50" s="337"/>
      <c r="T50" s="337"/>
      <c r="U50" s="338"/>
      <c r="W50" s="336"/>
      <c r="X50" s="337"/>
      <c r="Y50" s="337"/>
      <c r="Z50" s="338"/>
    </row>
    <row r="51" spans="17:27" x14ac:dyDescent="0.25">
      <c r="R51" s="336"/>
      <c r="S51" s="337"/>
      <c r="T51" s="337"/>
      <c r="U51" s="338"/>
      <c r="W51" s="336"/>
      <c r="X51" s="337"/>
      <c r="Y51" s="337"/>
      <c r="Z51" s="338"/>
    </row>
    <row r="52" spans="17:27" x14ac:dyDescent="0.25">
      <c r="R52" s="336"/>
      <c r="S52" s="337"/>
      <c r="T52" s="337"/>
      <c r="U52" s="338"/>
      <c r="W52" s="336"/>
      <c r="X52" s="337"/>
      <c r="Y52" s="337"/>
      <c r="Z52" s="338"/>
    </row>
    <row r="53" spans="17:27" x14ac:dyDescent="0.25">
      <c r="R53" s="336"/>
      <c r="S53" s="337"/>
      <c r="T53" s="337"/>
      <c r="U53" s="338"/>
      <c r="W53" s="336"/>
      <c r="X53" s="337"/>
      <c r="Y53" s="337"/>
      <c r="Z53" s="338"/>
    </row>
    <row r="54" spans="17:27" x14ac:dyDescent="0.25">
      <c r="R54" s="336"/>
      <c r="S54" s="337"/>
      <c r="T54" s="337"/>
      <c r="U54" s="338"/>
      <c r="W54" s="336"/>
      <c r="X54" s="337"/>
      <c r="Y54" s="337"/>
      <c r="Z54" s="338"/>
    </row>
    <row r="55" spans="17:27" x14ac:dyDescent="0.25">
      <c r="R55" s="336"/>
      <c r="S55" s="337"/>
      <c r="T55" s="337"/>
      <c r="U55" s="338"/>
      <c r="W55" s="336"/>
      <c r="X55" s="337"/>
      <c r="Y55" s="337"/>
      <c r="Z55" s="338"/>
    </row>
    <row r="56" spans="17:27" x14ac:dyDescent="0.25">
      <c r="R56" s="336"/>
      <c r="S56" s="337"/>
      <c r="T56" s="337"/>
      <c r="U56" s="338"/>
      <c r="W56" s="336"/>
      <c r="X56" s="337"/>
      <c r="Y56" s="337"/>
      <c r="Z56" s="338"/>
    </row>
    <row r="57" spans="17:27" x14ac:dyDescent="0.25">
      <c r="R57" s="336"/>
      <c r="S57" s="337"/>
      <c r="T57" s="337"/>
      <c r="U57" s="338"/>
      <c r="W57" s="336"/>
      <c r="X57" s="337"/>
      <c r="Y57" s="337"/>
      <c r="Z57" s="338"/>
    </row>
    <row r="58" spans="17:27" x14ac:dyDescent="0.25">
      <c r="R58" s="336"/>
      <c r="S58" s="337"/>
      <c r="T58" s="337"/>
      <c r="U58" s="338"/>
      <c r="W58" s="336"/>
      <c r="X58" s="337"/>
      <c r="Y58" s="337"/>
      <c r="Z58" s="338"/>
    </row>
    <row r="59" spans="17:27" x14ac:dyDescent="0.25">
      <c r="Q59" s="328" t="s">
        <v>35</v>
      </c>
      <c r="R59" s="336"/>
      <c r="S59" s="337"/>
      <c r="T59" s="337"/>
      <c r="U59" s="338"/>
      <c r="W59" s="336"/>
      <c r="X59" s="337"/>
      <c r="Y59" s="337"/>
      <c r="Z59" s="338"/>
      <c r="AA59" s="328" t="s">
        <v>35</v>
      </c>
    </row>
    <row r="60" spans="17:27" ht="15" thickBot="1" x14ac:dyDescent="0.3">
      <c r="Q60" s="328"/>
      <c r="R60" s="339"/>
      <c r="S60" s="340"/>
      <c r="T60" s="340"/>
      <c r="U60" s="341"/>
      <c r="W60" s="339"/>
      <c r="X60" s="340"/>
      <c r="Y60" s="340"/>
      <c r="Z60" s="341"/>
      <c r="AA60" s="328"/>
    </row>
  </sheetData>
  <sheetProtection algorithmName="SHA-512" hashValue="mfD2xu+/4v01RKdASmkD0f5TSfnwPGe9uf3Wlmt/7bYxktb7K6ubrmdXCBpfZqjlL/apoRmXyTKtHYLiqclukw==" saltValue="UoMZfoJWqmmom8iD9HXvUg==" spinCount="100000" sheet="1" objects="1" scenarios="1"/>
  <mergeCells count="26">
    <mergeCell ref="C2:P2"/>
    <mergeCell ref="K8:M8"/>
    <mergeCell ref="R8:U8"/>
    <mergeCell ref="C3:P3"/>
    <mergeCell ref="D8:F8"/>
    <mergeCell ref="K5:L5"/>
    <mergeCell ref="M5:M6"/>
    <mergeCell ref="K6:L6"/>
    <mergeCell ref="F5:F6"/>
    <mergeCell ref="R5:U5"/>
    <mergeCell ref="Q3:Q4"/>
    <mergeCell ref="D5:E6"/>
    <mergeCell ref="R3:U3"/>
    <mergeCell ref="R4:U4"/>
    <mergeCell ref="A5:A24"/>
    <mergeCell ref="Q5:Q7"/>
    <mergeCell ref="R6:U6"/>
    <mergeCell ref="G8:H8"/>
    <mergeCell ref="N8:O8"/>
    <mergeCell ref="Q59:Q60"/>
    <mergeCell ref="AA59:AA60"/>
    <mergeCell ref="R9:U60"/>
    <mergeCell ref="W9:Z60"/>
    <mergeCell ref="W8:Z8"/>
    <mergeCell ref="AA33:AA34"/>
    <mergeCell ref="Q33:Q34"/>
  </mergeCells>
  <dataValidations count="1">
    <dataValidation type="list" allowBlank="1" showInputMessage="1" showErrorMessage="1" sqref="G26 N26">
      <formula1>"части, грама"</formula1>
    </dataValidation>
  </dataValidations>
  <hyperlinks>
    <hyperlink ref="Q3:Q4" location="Меню!A1" display="M"/>
    <hyperlink ref="Q5:Q7" location="Пояснения!A1" display="i"/>
    <hyperlink ref="Q8" location="'За 1 доза, (g) |I.2|'!A1" display="I.2"/>
    <hyperlink ref="AA33:AA34" location="'Произволно количество,(g)|II.2|'!A1" display="Ç"/>
    <hyperlink ref="AA59:AA60" location="'Произволно количество,(g)|II.2|'!A1" display="Ç"/>
    <hyperlink ref="Q33:Q34" location="'Произволно количество,(g)|II.2|'!A1" display="Ç"/>
    <hyperlink ref="Q59:Q60" location="'Произволно количество,(g)|II.2|'!A1" display="Ç"/>
  </hyperlinks>
  <printOptions horizontalCentered="1"/>
  <pageMargins left="0" right="0" top="0" bottom="0" header="0" footer="0"/>
  <pageSetup paperSize="9" scale="77" orientation="landscape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>
    <tabColor rgb="FFC00000"/>
    <pageSetUpPr fitToPage="1"/>
  </sheetPr>
  <dimension ref="A1:AA60"/>
  <sheetViews>
    <sheetView showGridLines="0" showRowColHeaders="0" showZeros="0" zoomScaleNormal="100" workbookViewId="0"/>
  </sheetViews>
  <sheetFormatPr defaultColWidth="9.140625" defaultRowHeight="14.25" x14ac:dyDescent="0.25"/>
  <cols>
    <col min="1" max="1" width="4" style="1" bestFit="1" customWidth="1"/>
    <col min="2" max="2" width="1.28515625" style="1" customWidth="1"/>
    <col min="3" max="3" width="3.42578125" style="7" bestFit="1" customWidth="1"/>
    <col min="4" max="4" width="15.28515625" style="1" customWidth="1"/>
    <col min="5" max="6" width="11.42578125" style="1" customWidth="1"/>
    <col min="7" max="7" width="7.140625" style="1" customWidth="1"/>
    <col min="8" max="8" width="6.85546875" style="1" customWidth="1"/>
    <col min="9" max="9" width="0.7109375" style="1" customWidth="1"/>
    <col min="10" max="10" width="3.42578125" style="1" bestFit="1" customWidth="1"/>
    <col min="11" max="11" width="14.5703125" style="1" customWidth="1"/>
    <col min="12" max="13" width="11.42578125" style="1" customWidth="1"/>
    <col min="14" max="14" width="7.140625" style="1" customWidth="1"/>
    <col min="15" max="15" width="6.85546875" style="1" customWidth="1"/>
    <col min="16" max="16" width="1.28515625" style="1" customWidth="1"/>
    <col min="17" max="17" width="7.85546875" style="1" bestFit="1" customWidth="1"/>
    <col min="18" max="21" width="9.140625" style="1" customWidth="1"/>
    <col min="22" max="22" width="1.7109375" style="1" customWidth="1"/>
    <col min="23" max="26" width="9.140625" style="1"/>
    <col min="27" max="27" width="7.85546875" style="1" bestFit="1" customWidth="1"/>
    <col min="28" max="16384" width="9.140625" style="1"/>
  </cols>
  <sheetData>
    <row r="1" spans="1:26" ht="7.15" customHeight="1" x14ac:dyDescent="0.25">
      <c r="L1" s="7"/>
    </row>
    <row r="2" spans="1:26" ht="16.5" thickBot="1" x14ac:dyDescent="0.3">
      <c r="C2" s="348" t="s">
        <v>109</v>
      </c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</row>
    <row r="3" spans="1:26" ht="17.25" thickTop="1" x14ac:dyDescent="0.2">
      <c r="C3" s="393"/>
      <c r="D3" s="394"/>
      <c r="E3" s="394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5"/>
      <c r="Q3" s="366" t="s">
        <v>36</v>
      </c>
      <c r="R3" s="329" t="s">
        <v>8</v>
      </c>
      <c r="S3" s="329"/>
      <c r="T3" s="329"/>
      <c r="U3" s="329"/>
    </row>
    <row r="4" spans="1:26" ht="15" thickBot="1" x14ac:dyDescent="0.3">
      <c r="C4" s="124"/>
      <c r="D4" s="69"/>
      <c r="E4" s="2"/>
      <c r="F4" s="2"/>
      <c r="G4" s="2"/>
      <c r="H4" s="2"/>
      <c r="I4" s="2"/>
      <c r="J4" s="24"/>
      <c r="K4" s="62"/>
      <c r="L4" s="62"/>
      <c r="M4" s="62"/>
      <c r="N4" s="62"/>
      <c r="O4" s="62"/>
      <c r="P4" s="144"/>
      <c r="Q4" s="366"/>
      <c r="R4" s="330" t="s">
        <v>115</v>
      </c>
      <c r="S4" s="331"/>
      <c r="T4" s="331"/>
      <c r="U4" s="332"/>
    </row>
    <row r="5" spans="1:26" ht="15" x14ac:dyDescent="0.25">
      <c r="A5" s="392" t="s">
        <v>54</v>
      </c>
      <c r="C5" s="124"/>
      <c r="D5" s="388" t="s">
        <v>72</v>
      </c>
      <c r="E5" s="389"/>
      <c r="F5" s="383"/>
      <c r="G5" s="2"/>
      <c r="H5" s="2"/>
      <c r="I5" s="2"/>
      <c r="J5" s="24"/>
      <c r="K5" s="377" t="s">
        <v>16</v>
      </c>
      <c r="L5" s="378"/>
      <c r="M5" s="379"/>
      <c r="N5" s="208"/>
      <c r="O5" s="208"/>
      <c r="P5" s="136"/>
      <c r="Q5" s="370" t="s">
        <v>37</v>
      </c>
      <c r="R5" s="385" t="s">
        <v>113</v>
      </c>
      <c r="S5" s="386"/>
      <c r="T5" s="386"/>
      <c r="U5" s="387"/>
    </row>
    <row r="6" spans="1:26" ht="15.75" thickBot="1" x14ac:dyDescent="0.3">
      <c r="A6" s="392"/>
      <c r="B6" s="20"/>
      <c r="C6" s="124"/>
      <c r="D6" s="356"/>
      <c r="E6" s="390"/>
      <c r="F6" s="384"/>
      <c r="G6" s="2"/>
      <c r="H6" s="2"/>
      <c r="I6" s="2"/>
      <c r="J6" s="24"/>
      <c r="K6" s="381" t="s">
        <v>17</v>
      </c>
      <c r="L6" s="382"/>
      <c r="M6" s="380"/>
      <c r="N6" s="64"/>
      <c r="O6" s="64"/>
      <c r="P6" s="137"/>
      <c r="Q6" s="370"/>
      <c r="R6" s="344" t="s">
        <v>114</v>
      </c>
      <c r="S6" s="345"/>
      <c r="T6" s="345"/>
      <c r="U6" s="346"/>
    </row>
    <row r="7" spans="1:26" ht="15.75" thickBot="1" x14ac:dyDescent="0.3">
      <c r="A7" s="392"/>
      <c r="C7" s="124"/>
      <c r="D7" s="121"/>
      <c r="E7" s="121"/>
      <c r="F7" s="121"/>
      <c r="G7" s="2"/>
      <c r="H7" s="2"/>
      <c r="I7" s="2"/>
      <c r="J7" s="24"/>
      <c r="K7" s="63"/>
      <c r="L7" s="63"/>
      <c r="M7" s="64"/>
      <c r="N7" s="64"/>
      <c r="O7" s="64"/>
      <c r="P7" s="137"/>
      <c r="Q7" s="371"/>
      <c r="R7" s="209"/>
    </row>
    <row r="8" spans="1:26" ht="15.75" thickBot="1" x14ac:dyDescent="0.25">
      <c r="A8" s="392"/>
      <c r="C8" s="124"/>
      <c r="D8" s="396" t="s">
        <v>5</v>
      </c>
      <c r="E8" s="396"/>
      <c r="F8" s="396"/>
      <c r="G8" s="363" t="s">
        <v>14</v>
      </c>
      <c r="H8" s="364"/>
      <c r="I8" s="2"/>
      <c r="J8" s="24"/>
      <c r="K8" s="391" t="s">
        <v>5</v>
      </c>
      <c r="L8" s="391"/>
      <c r="M8" s="391"/>
      <c r="N8" s="363" t="s">
        <v>14</v>
      </c>
      <c r="O8" s="364"/>
      <c r="P8" s="137"/>
      <c r="R8" s="369" t="s">
        <v>11</v>
      </c>
      <c r="S8" s="369"/>
      <c r="T8" s="369"/>
      <c r="U8" s="369"/>
      <c r="W8" s="342" t="s">
        <v>57</v>
      </c>
      <c r="X8" s="369"/>
      <c r="Y8" s="369"/>
      <c r="Z8" s="369"/>
    </row>
    <row r="9" spans="1:26" ht="15.75" thickBot="1" x14ac:dyDescent="0.3">
      <c r="A9" s="392"/>
      <c r="C9" s="124"/>
      <c r="D9" s="168" t="s">
        <v>3</v>
      </c>
      <c r="E9" s="169" t="s">
        <v>6</v>
      </c>
      <c r="F9" s="170" t="s">
        <v>7</v>
      </c>
      <c r="G9" s="237" t="s">
        <v>13</v>
      </c>
      <c r="H9" s="238" t="s">
        <v>12</v>
      </c>
      <c r="I9" s="2"/>
      <c r="J9" s="24"/>
      <c r="K9" s="168" t="s">
        <v>3</v>
      </c>
      <c r="L9" s="169" t="s">
        <v>6</v>
      </c>
      <c r="M9" s="170" t="s">
        <v>7</v>
      </c>
      <c r="N9" s="237" t="s">
        <v>13</v>
      </c>
      <c r="O9" s="238" t="s">
        <v>12</v>
      </c>
      <c r="P9" s="138"/>
      <c r="R9" s="333"/>
      <c r="S9" s="334"/>
      <c r="T9" s="334"/>
      <c r="U9" s="335"/>
      <c r="W9" s="333"/>
      <c r="X9" s="334"/>
      <c r="Y9" s="334"/>
      <c r="Z9" s="335"/>
    </row>
    <row r="10" spans="1:26" ht="15" x14ac:dyDescent="0.25">
      <c r="A10" s="392"/>
      <c r="C10" s="124">
        <f>C9+1</f>
        <v>1</v>
      </c>
      <c r="D10" s="55"/>
      <c r="E10" s="6" t="s">
        <v>2</v>
      </c>
      <c r="F10" s="54">
        <f>IFERROR(F5/(SUM(E11:E23)+100%),"")</f>
        <v>0</v>
      </c>
      <c r="G10" s="214"/>
      <c r="H10" s="215"/>
      <c r="I10" s="2"/>
      <c r="J10" s="24">
        <f>J9+1</f>
        <v>1</v>
      </c>
      <c r="K10" s="52">
        <f t="shared" ref="K10:K23" si="0">D10</f>
        <v>0</v>
      </c>
      <c r="L10" s="65" t="s">
        <v>2</v>
      </c>
      <c r="M10" s="54">
        <f>$M$5</f>
        <v>0</v>
      </c>
      <c r="N10" s="224"/>
      <c r="O10" s="225"/>
      <c r="P10" s="139"/>
      <c r="R10" s="336"/>
      <c r="S10" s="337"/>
      <c r="T10" s="337"/>
      <c r="U10" s="338"/>
      <c r="W10" s="336"/>
      <c r="X10" s="337"/>
      <c r="Y10" s="337"/>
      <c r="Z10" s="338"/>
    </row>
    <row r="11" spans="1:26" x14ac:dyDescent="0.25">
      <c r="A11" s="392"/>
      <c r="C11" s="124">
        <f t="shared" ref="C11:C23" si="1">C10+1</f>
        <v>2</v>
      </c>
      <c r="D11" s="42"/>
      <c r="E11" s="40"/>
      <c r="F11" s="4">
        <f>IFERROR($F$10*E11,"")</f>
        <v>0</v>
      </c>
      <c r="G11" s="216"/>
      <c r="H11" s="217"/>
      <c r="I11" s="2"/>
      <c r="J11" s="24">
        <f t="shared" ref="J11:J23" si="2">J10+1</f>
        <v>2</v>
      </c>
      <c r="K11" s="26">
        <f t="shared" si="0"/>
        <v>0</v>
      </c>
      <c r="L11" s="71">
        <f t="shared" ref="L11:L23" si="3">E11</f>
        <v>0</v>
      </c>
      <c r="M11" s="66">
        <f>IFERROR(L11*$M$5,"")</f>
        <v>0</v>
      </c>
      <c r="N11" s="224"/>
      <c r="O11" s="225"/>
      <c r="P11" s="140"/>
      <c r="R11" s="336"/>
      <c r="S11" s="337"/>
      <c r="T11" s="337"/>
      <c r="U11" s="338"/>
      <c r="W11" s="336"/>
      <c r="X11" s="337"/>
      <c r="Y11" s="337"/>
      <c r="Z11" s="338"/>
    </row>
    <row r="12" spans="1:26" x14ac:dyDescent="0.25">
      <c r="A12" s="392"/>
      <c r="C12" s="124">
        <f t="shared" si="1"/>
        <v>3</v>
      </c>
      <c r="D12" s="42"/>
      <c r="E12" s="40"/>
      <c r="F12" s="4">
        <f t="shared" ref="F12:F23" si="4">IFERROR($F$10*E12,"")</f>
        <v>0</v>
      </c>
      <c r="G12" s="216"/>
      <c r="H12" s="218"/>
      <c r="I12" s="2"/>
      <c r="J12" s="24">
        <f t="shared" si="2"/>
        <v>3</v>
      </c>
      <c r="K12" s="26">
        <f t="shared" si="0"/>
        <v>0</v>
      </c>
      <c r="L12" s="71">
        <f t="shared" si="3"/>
        <v>0</v>
      </c>
      <c r="M12" s="66">
        <f t="shared" ref="M12:M23" si="5">IFERROR(L12*$M$5,"")</f>
        <v>0</v>
      </c>
      <c r="N12" s="224"/>
      <c r="O12" s="225"/>
      <c r="P12" s="140"/>
      <c r="R12" s="336"/>
      <c r="S12" s="337"/>
      <c r="T12" s="337"/>
      <c r="U12" s="338"/>
      <c r="W12" s="336"/>
      <c r="X12" s="337"/>
      <c r="Y12" s="337"/>
      <c r="Z12" s="338"/>
    </row>
    <row r="13" spans="1:26" x14ac:dyDescent="0.25">
      <c r="A13" s="392"/>
      <c r="C13" s="124">
        <f t="shared" si="1"/>
        <v>4</v>
      </c>
      <c r="D13" s="42"/>
      <c r="E13" s="40"/>
      <c r="F13" s="4">
        <f t="shared" si="4"/>
        <v>0</v>
      </c>
      <c r="G13" s="216"/>
      <c r="H13" s="217"/>
      <c r="I13" s="2"/>
      <c r="J13" s="24">
        <f t="shared" si="2"/>
        <v>4</v>
      </c>
      <c r="K13" s="26">
        <f t="shared" si="0"/>
        <v>0</v>
      </c>
      <c r="L13" s="71">
        <f t="shared" si="3"/>
        <v>0</v>
      </c>
      <c r="M13" s="66">
        <f t="shared" si="5"/>
        <v>0</v>
      </c>
      <c r="N13" s="224"/>
      <c r="O13" s="225"/>
      <c r="P13" s="140"/>
      <c r="R13" s="336"/>
      <c r="S13" s="337"/>
      <c r="T13" s="337"/>
      <c r="U13" s="338"/>
      <c r="W13" s="336"/>
      <c r="X13" s="337"/>
      <c r="Y13" s="337"/>
      <c r="Z13" s="338"/>
    </row>
    <row r="14" spans="1:26" x14ac:dyDescent="0.25">
      <c r="A14" s="392"/>
      <c r="C14" s="124">
        <f t="shared" si="1"/>
        <v>5</v>
      </c>
      <c r="D14" s="42"/>
      <c r="E14" s="40"/>
      <c r="F14" s="4">
        <f t="shared" si="4"/>
        <v>0</v>
      </c>
      <c r="G14" s="216"/>
      <c r="H14" s="219"/>
      <c r="I14" s="2"/>
      <c r="J14" s="24">
        <f t="shared" si="2"/>
        <v>5</v>
      </c>
      <c r="K14" s="26">
        <f t="shared" si="0"/>
        <v>0</v>
      </c>
      <c r="L14" s="71">
        <f t="shared" si="3"/>
        <v>0</v>
      </c>
      <c r="M14" s="66">
        <f t="shared" si="5"/>
        <v>0</v>
      </c>
      <c r="N14" s="224"/>
      <c r="O14" s="225"/>
      <c r="P14" s="140"/>
      <c r="R14" s="336"/>
      <c r="S14" s="337"/>
      <c r="T14" s="337"/>
      <c r="U14" s="338"/>
      <c r="W14" s="336"/>
      <c r="X14" s="337"/>
      <c r="Y14" s="337"/>
      <c r="Z14" s="338"/>
    </row>
    <row r="15" spans="1:26" x14ac:dyDescent="0.25">
      <c r="A15" s="392"/>
      <c r="C15" s="124">
        <f t="shared" si="1"/>
        <v>6</v>
      </c>
      <c r="D15" s="42"/>
      <c r="E15" s="40"/>
      <c r="F15" s="4">
        <f t="shared" si="4"/>
        <v>0</v>
      </c>
      <c r="G15" s="216"/>
      <c r="H15" s="218"/>
      <c r="I15" s="2"/>
      <c r="J15" s="24">
        <f t="shared" si="2"/>
        <v>6</v>
      </c>
      <c r="K15" s="26">
        <f t="shared" si="0"/>
        <v>0</v>
      </c>
      <c r="L15" s="71">
        <f t="shared" si="3"/>
        <v>0</v>
      </c>
      <c r="M15" s="66">
        <f t="shared" si="5"/>
        <v>0</v>
      </c>
      <c r="N15" s="224"/>
      <c r="O15" s="225"/>
      <c r="P15" s="140"/>
      <c r="R15" s="336"/>
      <c r="S15" s="337"/>
      <c r="T15" s="337"/>
      <c r="U15" s="338"/>
      <c r="W15" s="336"/>
      <c r="X15" s="337"/>
      <c r="Y15" s="337"/>
      <c r="Z15" s="338"/>
    </row>
    <row r="16" spans="1:26" x14ac:dyDescent="0.25">
      <c r="A16" s="392"/>
      <c r="C16" s="124">
        <f t="shared" si="1"/>
        <v>7</v>
      </c>
      <c r="D16" s="42"/>
      <c r="E16" s="40"/>
      <c r="F16" s="4">
        <f t="shared" si="4"/>
        <v>0</v>
      </c>
      <c r="G16" s="220"/>
      <c r="H16" s="221"/>
      <c r="I16" s="2"/>
      <c r="J16" s="24">
        <f t="shared" si="2"/>
        <v>7</v>
      </c>
      <c r="K16" s="26">
        <f t="shared" si="0"/>
        <v>0</v>
      </c>
      <c r="L16" s="71">
        <f t="shared" si="3"/>
        <v>0</v>
      </c>
      <c r="M16" s="66">
        <f t="shared" si="5"/>
        <v>0</v>
      </c>
      <c r="N16" s="224"/>
      <c r="O16" s="225"/>
      <c r="P16" s="140"/>
      <c r="R16" s="336"/>
      <c r="S16" s="337"/>
      <c r="T16" s="337"/>
      <c r="U16" s="338"/>
      <c r="W16" s="336"/>
      <c r="X16" s="337"/>
      <c r="Y16" s="337"/>
      <c r="Z16" s="338"/>
    </row>
    <row r="17" spans="1:26" x14ac:dyDescent="0.25">
      <c r="A17" s="392"/>
      <c r="C17" s="124">
        <f t="shared" si="1"/>
        <v>8</v>
      </c>
      <c r="D17" s="42"/>
      <c r="E17" s="40"/>
      <c r="F17" s="4">
        <f t="shared" si="4"/>
        <v>0</v>
      </c>
      <c r="G17" s="220"/>
      <c r="H17" s="221"/>
      <c r="I17" s="2"/>
      <c r="J17" s="24">
        <f t="shared" si="2"/>
        <v>8</v>
      </c>
      <c r="K17" s="26">
        <f t="shared" si="0"/>
        <v>0</v>
      </c>
      <c r="L17" s="71">
        <f t="shared" si="3"/>
        <v>0</v>
      </c>
      <c r="M17" s="66">
        <f t="shared" si="5"/>
        <v>0</v>
      </c>
      <c r="N17" s="224"/>
      <c r="O17" s="225"/>
      <c r="P17" s="140"/>
      <c r="R17" s="336"/>
      <c r="S17" s="337"/>
      <c r="T17" s="337"/>
      <c r="U17" s="338"/>
      <c r="W17" s="336"/>
      <c r="X17" s="337"/>
      <c r="Y17" s="337"/>
      <c r="Z17" s="338"/>
    </row>
    <row r="18" spans="1:26" x14ac:dyDescent="0.25">
      <c r="A18" s="392"/>
      <c r="C18" s="124">
        <f t="shared" si="1"/>
        <v>9</v>
      </c>
      <c r="D18" s="42"/>
      <c r="E18" s="40"/>
      <c r="F18" s="4">
        <f t="shared" si="4"/>
        <v>0</v>
      </c>
      <c r="G18" s="220"/>
      <c r="H18" s="221"/>
      <c r="I18" s="2"/>
      <c r="J18" s="24">
        <f t="shared" si="2"/>
        <v>9</v>
      </c>
      <c r="K18" s="26">
        <f t="shared" si="0"/>
        <v>0</v>
      </c>
      <c r="L18" s="71">
        <f t="shared" si="3"/>
        <v>0</v>
      </c>
      <c r="M18" s="66">
        <f t="shared" si="5"/>
        <v>0</v>
      </c>
      <c r="N18" s="224"/>
      <c r="O18" s="225"/>
      <c r="P18" s="140"/>
      <c r="R18" s="336"/>
      <c r="S18" s="337"/>
      <c r="T18" s="337"/>
      <c r="U18" s="338"/>
      <c r="W18" s="336"/>
      <c r="X18" s="337"/>
      <c r="Y18" s="337"/>
      <c r="Z18" s="338"/>
    </row>
    <row r="19" spans="1:26" x14ac:dyDescent="0.25">
      <c r="A19" s="392"/>
      <c r="C19" s="124">
        <f t="shared" si="1"/>
        <v>10</v>
      </c>
      <c r="D19" s="42"/>
      <c r="E19" s="40"/>
      <c r="F19" s="4">
        <f t="shared" si="4"/>
        <v>0</v>
      </c>
      <c r="G19" s="220"/>
      <c r="H19" s="221"/>
      <c r="I19" s="2"/>
      <c r="J19" s="24">
        <f t="shared" si="2"/>
        <v>10</v>
      </c>
      <c r="K19" s="26">
        <f t="shared" si="0"/>
        <v>0</v>
      </c>
      <c r="L19" s="71">
        <f t="shared" si="3"/>
        <v>0</v>
      </c>
      <c r="M19" s="66">
        <f t="shared" si="5"/>
        <v>0</v>
      </c>
      <c r="N19" s="224"/>
      <c r="O19" s="225"/>
      <c r="P19" s="140"/>
      <c r="R19" s="336"/>
      <c r="S19" s="337"/>
      <c r="T19" s="337"/>
      <c r="U19" s="338"/>
      <c r="W19" s="336"/>
      <c r="X19" s="337"/>
      <c r="Y19" s="337"/>
      <c r="Z19" s="338"/>
    </row>
    <row r="20" spans="1:26" x14ac:dyDescent="0.25">
      <c r="A20" s="392"/>
      <c r="C20" s="124">
        <f t="shared" si="1"/>
        <v>11</v>
      </c>
      <c r="D20" s="42"/>
      <c r="E20" s="40"/>
      <c r="F20" s="4">
        <f t="shared" si="4"/>
        <v>0</v>
      </c>
      <c r="G20" s="220"/>
      <c r="H20" s="221"/>
      <c r="I20" s="2"/>
      <c r="J20" s="24">
        <f t="shared" si="2"/>
        <v>11</v>
      </c>
      <c r="K20" s="26">
        <f t="shared" si="0"/>
        <v>0</v>
      </c>
      <c r="L20" s="71">
        <f t="shared" si="3"/>
        <v>0</v>
      </c>
      <c r="M20" s="66">
        <f t="shared" si="5"/>
        <v>0</v>
      </c>
      <c r="N20" s="224"/>
      <c r="O20" s="225"/>
      <c r="P20" s="140"/>
      <c r="R20" s="336"/>
      <c r="S20" s="337"/>
      <c r="T20" s="337"/>
      <c r="U20" s="338"/>
      <c r="W20" s="336"/>
      <c r="X20" s="337"/>
      <c r="Y20" s="337"/>
      <c r="Z20" s="338"/>
    </row>
    <row r="21" spans="1:26" x14ac:dyDescent="0.25">
      <c r="A21" s="392"/>
      <c r="C21" s="124">
        <f t="shared" si="1"/>
        <v>12</v>
      </c>
      <c r="D21" s="42"/>
      <c r="E21" s="40"/>
      <c r="F21" s="4">
        <f t="shared" si="4"/>
        <v>0</v>
      </c>
      <c r="G21" s="220"/>
      <c r="H21" s="218"/>
      <c r="I21" s="2"/>
      <c r="J21" s="24">
        <f t="shared" si="2"/>
        <v>12</v>
      </c>
      <c r="K21" s="26">
        <f t="shared" si="0"/>
        <v>0</v>
      </c>
      <c r="L21" s="71">
        <f t="shared" si="3"/>
        <v>0</v>
      </c>
      <c r="M21" s="66">
        <f t="shared" si="5"/>
        <v>0</v>
      </c>
      <c r="N21" s="224"/>
      <c r="O21" s="225"/>
      <c r="P21" s="140"/>
      <c r="R21" s="336"/>
      <c r="S21" s="337"/>
      <c r="T21" s="337"/>
      <c r="U21" s="338"/>
      <c r="W21" s="336"/>
      <c r="X21" s="337"/>
      <c r="Y21" s="337"/>
      <c r="Z21" s="338"/>
    </row>
    <row r="22" spans="1:26" x14ac:dyDescent="0.25">
      <c r="A22" s="392"/>
      <c r="C22" s="124">
        <f t="shared" si="1"/>
        <v>13</v>
      </c>
      <c r="D22" s="42"/>
      <c r="E22" s="40"/>
      <c r="F22" s="4">
        <f t="shared" si="4"/>
        <v>0</v>
      </c>
      <c r="G22" s="220"/>
      <c r="H22" s="221"/>
      <c r="I22" s="2"/>
      <c r="J22" s="24">
        <f t="shared" si="2"/>
        <v>13</v>
      </c>
      <c r="K22" s="26">
        <f t="shared" si="0"/>
        <v>0</v>
      </c>
      <c r="L22" s="71">
        <f t="shared" si="3"/>
        <v>0</v>
      </c>
      <c r="M22" s="66">
        <f t="shared" si="5"/>
        <v>0</v>
      </c>
      <c r="N22" s="224"/>
      <c r="O22" s="225"/>
      <c r="P22" s="140"/>
      <c r="R22" s="336"/>
      <c r="S22" s="337"/>
      <c r="T22" s="337"/>
      <c r="U22" s="338"/>
      <c r="W22" s="336"/>
      <c r="X22" s="337"/>
      <c r="Y22" s="337"/>
      <c r="Z22" s="338"/>
    </row>
    <row r="23" spans="1:26" ht="15" thickBot="1" x14ac:dyDescent="0.3">
      <c r="A23" s="392"/>
      <c r="C23" s="124">
        <f t="shared" si="1"/>
        <v>14</v>
      </c>
      <c r="D23" s="43"/>
      <c r="E23" s="41"/>
      <c r="F23" s="5">
        <f t="shared" si="4"/>
        <v>0</v>
      </c>
      <c r="G23" s="222"/>
      <c r="H23" s="223"/>
      <c r="I23" s="2"/>
      <c r="J23" s="24">
        <f t="shared" si="2"/>
        <v>14</v>
      </c>
      <c r="K23" s="28">
        <f t="shared" si="0"/>
        <v>0</v>
      </c>
      <c r="L23" s="72">
        <f t="shared" si="3"/>
        <v>0</v>
      </c>
      <c r="M23" s="67">
        <f t="shared" si="5"/>
        <v>0</v>
      </c>
      <c r="N23" s="226"/>
      <c r="O23" s="227"/>
      <c r="P23" s="140"/>
      <c r="R23" s="336"/>
      <c r="S23" s="337"/>
      <c r="T23" s="337"/>
      <c r="U23" s="338"/>
      <c r="W23" s="336"/>
      <c r="X23" s="337"/>
      <c r="Y23" s="337"/>
      <c r="Z23" s="338"/>
    </row>
    <row r="24" spans="1:26" ht="15" thickBot="1" x14ac:dyDescent="0.3">
      <c r="A24" s="392"/>
      <c r="C24" s="129"/>
      <c r="D24" s="133"/>
      <c r="E24" s="141" t="s">
        <v>1</v>
      </c>
      <c r="F24" s="131">
        <f>SUM(F10:F23)</f>
        <v>0</v>
      </c>
      <c r="G24" s="133"/>
      <c r="H24" s="133"/>
      <c r="I24" s="133"/>
      <c r="J24" s="134"/>
      <c r="K24" s="142"/>
      <c r="L24" s="141" t="s">
        <v>1</v>
      </c>
      <c r="M24" s="131">
        <f>SUM(M10:M23)</f>
        <v>0</v>
      </c>
      <c r="N24" s="142"/>
      <c r="O24" s="142"/>
      <c r="P24" s="145"/>
      <c r="R24" s="336"/>
      <c r="S24" s="337"/>
      <c r="T24" s="337"/>
      <c r="U24" s="338"/>
      <c r="W24" s="336"/>
      <c r="X24" s="337"/>
      <c r="Y24" s="337"/>
      <c r="Z24" s="338"/>
    </row>
    <row r="25" spans="1:26" ht="16.5" thickTop="1" x14ac:dyDescent="0.25">
      <c r="F25" s="111" t="s">
        <v>55</v>
      </c>
      <c r="M25" s="111" t="s">
        <v>55</v>
      </c>
      <c r="N25" s="68"/>
      <c r="O25" s="68"/>
      <c r="P25" s="68"/>
      <c r="Q25" s="2"/>
      <c r="R25" s="336"/>
      <c r="S25" s="337"/>
      <c r="T25" s="337"/>
      <c r="U25" s="338"/>
      <c r="W25" s="336"/>
      <c r="X25" s="337"/>
      <c r="Y25" s="337"/>
      <c r="Z25" s="338"/>
    </row>
    <row r="26" spans="1:26" x14ac:dyDescent="0.25">
      <c r="F26" s="213"/>
      <c r="G26" s="229" t="s">
        <v>112</v>
      </c>
      <c r="M26" s="213"/>
      <c r="N26" s="229" t="s">
        <v>112</v>
      </c>
      <c r="R26" s="336"/>
      <c r="S26" s="337"/>
      <c r="T26" s="337"/>
      <c r="U26" s="338"/>
      <c r="W26" s="336"/>
      <c r="X26" s="337"/>
      <c r="Y26" s="337"/>
      <c r="Z26" s="338"/>
    </row>
    <row r="27" spans="1:26" ht="15" x14ac:dyDescent="0.25">
      <c r="F27" s="112" t="s">
        <v>56</v>
      </c>
      <c r="M27" s="112" t="s">
        <v>56</v>
      </c>
      <c r="R27" s="336"/>
      <c r="S27" s="337"/>
      <c r="T27" s="337"/>
      <c r="U27" s="338"/>
      <c r="W27" s="336"/>
      <c r="X27" s="337"/>
      <c r="Y27" s="337"/>
      <c r="Z27" s="338"/>
    </row>
    <row r="28" spans="1:26" ht="15" x14ac:dyDescent="0.25">
      <c r="F28" s="211" t="str">
        <f>IFERROR(F24/F26,"")</f>
        <v/>
      </c>
      <c r="G28" s="230" t="str">
        <f>IF(G26="части","грама",(IF(G26="грама","части","")))</f>
        <v>грама</v>
      </c>
      <c r="M28" s="212" t="str">
        <f>IFERROR(M24/M26,"")</f>
        <v/>
      </c>
      <c r="N28" s="230" t="str">
        <f>IF(N26="части","грама",(IF(N26="грама","части","")))</f>
        <v>грама</v>
      </c>
      <c r="R28" s="336"/>
      <c r="S28" s="337"/>
      <c r="T28" s="337"/>
      <c r="U28" s="338"/>
      <c r="W28" s="336"/>
      <c r="X28" s="337"/>
      <c r="Y28" s="337"/>
      <c r="Z28" s="338"/>
    </row>
    <row r="29" spans="1:26" x14ac:dyDescent="0.25">
      <c r="R29" s="336"/>
      <c r="S29" s="337"/>
      <c r="T29" s="337"/>
      <c r="U29" s="338"/>
      <c r="W29" s="336"/>
      <c r="X29" s="337"/>
      <c r="Y29" s="337"/>
      <c r="Z29" s="338"/>
    </row>
    <row r="30" spans="1:26" x14ac:dyDescent="0.25">
      <c r="R30" s="336"/>
      <c r="S30" s="337"/>
      <c r="T30" s="337"/>
      <c r="U30" s="338"/>
      <c r="W30" s="336"/>
      <c r="X30" s="337"/>
      <c r="Y30" s="337"/>
      <c r="Z30" s="338"/>
    </row>
    <row r="31" spans="1:26" x14ac:dyDescent="0.25">
      <c r="R31" s="336"/>
      <c r="S31" s="337"/>
      <c r="T31" s="337"/>
      <c r="U31" s="338"/>
      <c r="W31" s="336"/>
      <c r="X31" s="337"/>
      <c r="Y31" s="337"/>
      <c r="Z31" s="338"/>
    </row>
    <row r="32" spans="1:26" x14ac:dyDescent="0.25">
      <c r="R32" s="336"/>
      <c r="S32" s="337"/>
      <c r="T32" s="337"/>
      <c r="U32" s="338"/>
      <c r="W32" s="336"/>
      <c r="X32" s="337"/>
      <c r="Y32" s="337"/>
      <c r="Z32" s="338"/>
    </row>
    <row r="33" spans="17:27" x14ac:dyDescent="0.25">
      <c r="Q33" s="328" t="s">
        <v>35</v>
      </c>
      <c r="R33" s="336"/>
      <c r="S33" s="337"/>
      <c r="T33" s="337"/>
      <c r="U33" s="338"/>
      <c r="W33" s="336"/>
      <c r="X33" s="337"/>
      <c r="Y33" s="337"/>
      <c r="Z33" s="338"/>
      <c r="AA33" s="328" t="s">
        <v>35</v>
      </c>
    </row>
    <row r="34" spans="17:27" x14ac:dyDescent="0.25">
      <c r="Q34" s="328"/>
      <c r="R34" s="336"/>
      <c r="S34" s="337"/>
      <c r="T34" s="337"/>
      <c r="U34" s="338"/>
      <c r="W34" s="336"/>
      <c r="X34" s="337"/>
      <c r="Y34" s="337"/>
      <c r="Z34" s="338"/>
      <c r="AA34" s="328"/>
    </row>
    <row r="35" spans="17:27" x14ac:dyDescent="0.25">
      <c r="R35" s="336"/>
      <c r="S35" s="337"/>
      <c r="T35" s="337"/>
      <c r="U35" s="338"/>
      <c r="W35" s="336"/>
      <c r="X35" s="337"/>
      <c r="Y35" s="337"/>
      <c r="Z35" s="338"/>
    </row>
    <row r="36" spans="17:27" x14ac:dyDescent="0.25">
      <c r="R36" s="336"/>
      <c r="S36" s="337"/>
      <c r="T36" s="337"/>
      <c r="U36" s="338"/>
      <c r="W36" s="336"/>
      <c r="X36" s="337"/>
      <c r="Y36" s="337"/>
      <c r="Z36" s="338"/>
    </row>
    <row r="37" spans="17:27" x14ac:dyDescent="0.25">
      <c r="R37" s="336"/>
      <c r="S37" s="337"/>
      <c r="T37" s="337"/>
      <c r="U37" s="338"/>
      <c r="W37" s="336"/>
      <c r="X37" s="337"/>
      <c r="Y37" s="337"/>
      <c r="Z37" s="338"/>
    </row>
    <row r="38" spans="17:27" x14ac:dyDescent="0.25">
      <c r="R38" s="336"/>
      <c r="S38" s="337"/>
      <c r="T38" s="337"/>
      <c r="U38" s="338"/>
      <c r="W38" s="336"/>
      <c r="X38" s="337"/>
      <c r="Y38" s="337"/>
      <c r="Z38" s="338"/>
    </row>
    <row r="39" spans="17:27" x14ac:dyDescent="0.25">
      <c r="R39" s="336"/>
      <c r="S39" s="337"/>
      <c r="T39" s="337"/>
      <c r="U39" s="338"/>
      <c r="W39" s="336"/>
      <c r="X39" s="337"/>
      <c r="Y39" s="337"/>
      <c r="Z39" s="338"/>
    </row>
    <row r="40" spans="17:27" x14ac:dyDescent="0.25">
      <c r="R40" s="336"/>
      <c r="S40" s="337"/>
      <c r="T40" s="337"/>
      <c r="U40" s="338"/>
      <c r="W40" s="336"/>
      <c r="X40" s="337"/>
      <c r="Y40" s="337"/>
      <c r="Z40" s="338"/>
    </row>
    <row r="41" spans="17:27" x14ac:dyDescent="0.25">
      <c r="R41" s="336"/>
      <c r="S41" s="337"/>
      <c r="T41" s="337"/>
      <c r="U41" s="338"/>
      <c r="W41" s="336"/>
      <c r="X41" s="337"/>
      <c r="Y41" s="337"/>
      <c r="Z41" s="338"/>
    </row>
    <row r="42" spans="17:27" x14ac:dyDescent="0.25">
      <c r="R42" s="336"/>
      <c r="S42" s="337"/>
      <c r="T42" s="337"/>
      <c r="U42" s="338"/>
      <c r="W42" s="336"/>
      <c r="X42" s="337"/>
      <c r="Y42" s="337"/>
      <c r="Z42" s="338"/>
    </row>
    <row r="43" spans="17:27" x14ac:dyDescent="0.25">
      <c r="R43" s="336"/>
      <c r="S43" s="337"/>
      <c r="T43" s="337"/>
      <c r="U43" s="338"/>
      <c r="W43" s="336"/>
      <c r="X43" s="337"/>
      <c r="Y43" s="337"/>
      <c r="Z43" s="338"/>
    </row>
    <row r="44" spans="17:27" x14ac:dyDescent="0.25">
      <c r="R44" s="336"/>
      <c r="S44" s="337"/>
      <c r="T44" s="337"/>
      <c r="U44" s="338"/>
      <c r="W44" s="336"/>
      <c r="X44" s="337"/>
      <c r="Y44" s="337"/>
      <c r="Z44" s="338"/>
    </row>
    <row r="45" spans="17:27" x14ac:dyDescent="0.25">
      <c r="R45" s="336"/>
      <c r="S45" s="337"/>
      <c r="T45" s="337"/>
      <c r="U45" s="338"/>
      <c r="W45" s="336"/>
      <c r="X45" s="337"/>
      <c r="Y45" s="337"/>
      <c r="Z45" s="338"/>
    </row>
    <row r="46" spans="17:27" x14ac:dyDescent="0.25">
      <c r="R46" s="336"/>
      <c r="S46" s="337"/>
      <c r="T46" s="337"/>
      <c r="U46" s="338"/>
      <c r="W46" s="336"/>
      <c r="X46" s="337"/>
      <c r="Y46" s="337"/>
      <c r="Z46" s="338"/>
    </row>
    <row r="47" spans="17:27" x14ac:dyDescent="0.25">
      <c r="R47" s="336"/>
      <c r="S47" s="337"/>
      <c r="T47" s="337"/>
      <c r="U47" s="338"/>
      <c r="W47" s="336"/>
      <c r="X47" s="337"/>
      <c r="Y47" s="337"/>
      <c r="Z47" s="338"/>
    </row>
    <row r="48" spans="17:27" x14ac:dyDescent="0.25">
      <c r="R48" s="336"/>
      <c r="S48" s="337"/>
      <c r="T48" s="337"/>
      <c r="U48" s="338"/>
      <c r="W48" s="336"/>
      <c r="X48" s="337"/>
      <c r="Y48" s="337"/>
      <c r="Z48" s="338"/>
    </row>
    <row r="49" spans="17:27" x14ac:dyDescent="0.25">
      <c r="R49" s="336"/>
      <c r="S49" s="337"/>
      <c r="T49" s="337"/>
      <c r="U49" s="338"/>
      <c r="W49" s="336"/>
      <c r="X49" s="337"/>
      <c r="Y49" s="337"/>
      <c r="Z49" s="338"/>
    </row>
    <row r="50" spans="17:27" x14ac:dyDescent="0.25">
      <c r="R50" s="336"/>
      <c r="S50" s="337"/>
      <c r="T50" s="337"/>
      <c r="U50" s="338"/>
      <c r="W50" s="336"/>
      <c r="X50" s="337"/>
      <c r="Y50" s="337"/>
      <c r="Z50" s="338"/>
    </row>
    <row r="51" spans="17:27" x14ac:dyDescent="0.25">
      <c r="R51" s="336"/>
      <c r="S51" s="337"/>
      <c r="T51" s="337"/>
      <c r="U51" s="338"/>
      <c r="W51" s="336"/>
      <c r="X51" s="337"/>
      <c r="Y51" s="337"/>
      <c r="Z51" s="338"/>
    </row>
    <row r="52" spans="17:27" x14ac:dyDescent="0.25">
      <c r="R52" s="336"/>
      <c r="S52" s="337"/>
      <c r="T52" s="337"/>
      <c r="U52" s="338"/>
      <c r="W52" s="336"/>
      <c r="X52" s="337"/>
      <c r="Y52" s="337"/>
      <c r="Z52" s="338"/>
    </row>
    <row r="53" spans="17:27" x14ac:dyDescent="0.25">
      <c r="R53" s="336"/>
      <c r="S53" s="337"/>
      <c r="T53" s="337"/>
      <c r="U53" s="338"/>
      <c r="W53" s="336"/>
      <c r="X53" s="337"/>
      <c r="Y53" s="337"/>
      <c r="Z53" s="338"/>
    </row>
    <row r="54" spans="17:27" x14ac:dyDescent="0.25">
      <c r="R54" s="336"/>
      <c r="S54" s="337"/>
      <c r="T54" s="337"/>
      <c r="U54" s="338"/>
      <c r="W54" s="336"/>
      <c r="X54" s="337"/>
      <c r="Y54" s="337"/>
      <c r="Z54" s="338"/>
    </row>
    <row r="55" spans="17:27" x14ac:dyDescent="0.25">
      <c r="R55" s="336"/>
      <c r="S55" s="337"/>
      <c r="T55" s="337"/>
      <c r="U55" s="338"/>
      <c r="W55" s="336"/>
      <c r="X55" s="337"/>
      <c r="Y55" s="337"/>
      <c r="Z55" s="338"/>
    </row>
    <row r="56" spans="17:27" x14ac:dyDescent="0.25">
      <c r="R56" s="336"/>
      <c r="S56" s="337"/>
      <c r="T56" s="337"/>
      <c r="U56" s="338"/>
      <c r="W56" s="336"/>
      <c r="X56" s="337"/>
      <c r="Y56" s="337"/>
      <c r="Z56" s="338"/>
    </row>
    <row r="57" spans="17:27" x14ac:dyDescent="0.25">
      <c r="R57" s="336"/>
      <c r="S57" s="337"/>
      <c r="T57" s="337"/>
      <c r="U57" s="338"/>
      <c r="W57" s="336"/>
      <c r="X57" s="337"/>
      <c r="Y57" s="337"/>
      <c r="Z57" s="338"/>
    </row>
    <row r="58" spans="17:27" x14ac:dyDescent="0.25">
      <c r="R58" s="336"/>
      <c r="S58" s="337"/>
      <c r="T58" s="337"/>
      <c r="U58" s="338"/>
      <c r="W58" s="336"/>
      <c r="X58" s="337"/>
      <c r="Y58" s="337"/>
      <c r="Z58" s="338"/>
    </row>
    <row r="59" spans="17:27" x14ac:dyDescent="0.25">
      <c r="Q59" s="328" t="s">
        <v>35</v>
      </c>
      <c r="R59" s="336"/>
      <c r="S59" s="337"/>
      <c r="T59" s="337"/>
      <c r="U59" s="338"/>
      <c r="W59" s="336"/>
      <c r="X59" s="337"/>
      <c r="Y59" s="337"/>
      <c r="Z59" s="338"/>
      <c r="AA59" s="328" t="s">
        <v>35</v>
      </c>
    </row>
    <row r="60" spans="17:27" ht="15" thickBot="1" x14ac:dyDescent="0.3">
      <c r="Q60" s="328"/>
      <c r="R60" s="339"/>
      <c r="S60" s="340"/>
      <c r="T60" s="340"/>
      <c r="U60" s="341"/>
      <c r="W60" s="339"/>
      <c r="X60" s="340"/>
      <c r="Y60" s="340"/>
      <c r="Z60" s="341"/>
      <c r="AA60" s="328"/>
    </row>
  </sheetData>
  <sheetProtection algorithmName="SHA-512" hashValue="Tylz7Qwdb6YIi4xUOhwvYeFYW/SbSl7vVx2X7ewG5/un0L1B8W9R1xBD3l9kdrMIVPSnOEOy5DXqz4gmxj3XPg==" saltValue="a/6dVKXQlfzVyH/wvwlAHQ==" spinCount="100000" sheet="1" objects="1" scenarios="1"/>
  <mergeCells count="26">
    <mergeCell ref="A5:A24"/>
    <mergeCell ref="Q5:Q7"/>
    <mergeCell ref="C3:P3"/>
    <mergeCell ref="R8:U8"/>
    <mergeCell ref="R5:U5"/>
    <mergeCell ref="D8:F8"/>
    <mergeCell ref="K5:L5"/>
    <mergeCell ref="M5:M6"/>
    <mergeCell ref="K6:L6"/>
    <mergeCell ref="F5:F6"/>
    <mergeCell ref="D5:E6"/>
    <mergeCell ref="C2:P2"/>
    <mergeCell ref="W8:Z8"/>
    <mergeCell ref="K8:M8"/>
    <mergeCell ref="Q3:Q4"/>
    <mergeCell ref="G8:H8"/>
    <mergeCell ref="N8:O8"/>
    <mergeCell ref="R6:U6"/>
    <mergeCell ref="R3:U3"/>
    <mergeCell ref="R4:U4"/>
    <mergeCell ref="AA59:AA60"/>
    <mergeCell ref="R9:U60"/>
    <mergeCell ref="W9:Z60"/>
    <mergeCell ref="AA33:AA34"/>
    <mergeCell ref="Q33:Q34"/>
    <mergeCell ref="Q59:Q60"/>
  </mergeCells>
  <dataValidations count="1">
    <dataValidation type="list" allowBlank="1" showInputMessage="1" showErrorMessage="1" sqref="G26 N26">
      <formula1>"части, грама"</formula1>
    </dataValidation>
  </dataValidations>
  <hyperlinks>
    <hyperlink ref="Q3:Q4" location="Меню!A1" display="M"/>
    <hyperlink ref="Q5:Q7" location="Пояснения!A1" display="i"/>
    <hyperlink ref="AA33:AA34" location="'Ръчно въвеждане, (%)'!A1" display="Ç"/>
    <hyperlink ref="AA59:AA60" location="'Ръчно въвеждане, (%)'!A1" display="Ç"/>
    <hyperlink ref="Q33:Q34" location="'Ръчно въвеждане, (%)'!A1" display="Ç"/>
    <hyperlink ref="Q59:Q60" location="'Ръчно въвеждане, (%)'!A1" display="Ç"/>
  </hyperlinks>
  <printOptions horizontalCentered="1"/>
  <pageMargins left="0" right="0" top="0" bottom="0" header="0" footer="0"/>
  <pageSetup paperSize="9" scale="77" orientation="landscape" horizontalDpi="300" verticalDpi="300" r:id="rId1"/>
  <ignoredErrors>
    <ignoredError sqref="M11:M23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4">
    <tabColor theme="7" tint="-0.249977111117893"/>
    <pageSetUpPr fitToPage="1"/>
  </sheetPr>
  <dimension ref="B1:Z34"/>
  <sheetViews>
    <sheetView showGridLines="0" showRowColHeaders="0" showZeros="0" zoomScale="90" zoomScaleNormal="90" workbookViewId="0"/>
  </sheetViews>
  <sheetFormatPr defaultColWidth="9.140625" defaultRowHeight="15" x14ac:dyDescent="0.25"/>
  <cols>
    <col min="1" max="1" width="1.28515625" style="1" customWidth="1"/>
    <col min="2" max="2" width="3.28515625" style="7" bestFit="1" customWidth="1"/>
    <col min="3" max="3" width="14.7109375" style="1" customWidth="1"/>
    <col min="4" max="4" width="16.42578125" style="1" customWidth="1"/>
    <col min="5" max="5" width="12.42578125" style="1" bestFit="1" customWidth="1"/>
    <col min="6" max="6" width="1.140625" style="1" customWidth="1"/>
    <col min="7" max="7" width="2.7109375" style="1" customWidth="1"/>
    <col min="8" max="8" width="3.28515625" style="1" bestFit="1" customWidth="1"/>
    <col min="9" max="9" width="14.7109375" style="1" customWidth="1"/>
    <col min="10" max="10" width="16.42578125" style="1" customWidth="1"/>
    <col min="11" max="11" width="10" style="1" bestFit="1" customWidth="1"/>
    <col min="12" max="12" width="11.42578125" style="1" customWidth="1"/>
    <col min="13" max="13" width="1.140625" style="1" customWidth="1"/>
    <col min="14" max="14" width="2.7109375" style="1" customWidth="1"/>
    <col min="15" max="15" width="3.28515625" style="1" bestFit="1" customWidth="1"/>
    <col min="16" max="16" width="14.7109375" style="1" customWidth="1"/>
    <col min="17" max="18" width="12.28515625" style="1" customWidth="1"/>
    <col min="19" max="19" width="10" style="1" customWidth="1"/>
    <col min="20" max="20" width="1.140625" style="20" customWidth="1"/>
    <col min="21" max="21" width="2.7109375" style="1" customWidth="1"/>
    <col min="22" max="25" width="9.140625" style="1" customWidth="1"/>
    <col min="26" max="26" width="7.85546875" style="1" customWidth="1"/>
    <col min="27" max="16384" width="9.140625" style="1"/>
  </cols>
  <sheetData>
    <row r="1" spans="2:25" ht="7.15" customHeight="1" x14ac:dyDescent="0.25"/>
    <row r="2" spans="2:25" ht="15.75" x14ac:dyDescent="0.25">
      <c r="B2" s="397" t="s">
        <v>110</v>
      </c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</row>
    <row r="3" spans="2:25" ht="16.5" x14ac:dyDescent="0.25">
      <c r="B3" s="404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6"/>
    </row>
    <row r="4" spans="2:25" ht="30.75" thickBot="1" x14ac:dyDescent="0.3">
      <c r="B4" s="24"/>
      <c r="C4" s="175" t="s">
        <v>36</v>
      </c>
      <c r="D4" s="176" t="s">
        <v>37</v>
      </c>
      <c r="E4" s="100"/>
      <c r="F4" s="100"/>
      <c r="G4" s="2"/>
      <c r="H4" s="2"/>
      <c r="I4" s="100"/>
      <c r="J4" s="100"/>
      <c r="K4" s="100"/>
      <c r="L4" s="100"/>
      <c r="M4" s="2"/>
      <c r="N4" s="2"/>
      <c r="O4" s="2"/>
      <c r="P4" s="2"/>
      <c r="Q4" s="2"/>
      <c r="R4" s="2"/>
      <c r="S4" s="2"/>
      <c r="V4" s="411" t="s">
        <v>8</v>
      </c>
      <c r="W4" s="411"/>
      <c r="X4" s="411"/>
      <c r="Y4" s="411"/>
    </row>
    <row r="5" spans="2:25" s="101" customFormat="1" ht="15.75" thickTop="1" x14ac:dyDescent="0.25">
      <c r="B5" s="418" t="s">
        <v>70</v>
      </c>
      <c r="C5" s="419"/>
      <c r="D5" s="419"/>
      <c r="E5" s="419"/>
      <c r="F5" s="420"/>
      <c r="H5" s="418" t="s">
        <v>71</v>
      </c>
      <c r="I5" s="419"/>
      <c r="J5" s="419"/>
      <c r="K5" s="419"/>
      <c r="L5" s="419"/>
      <c r="M5" s="420"/>
      <c r="N5" s="110"/>
      <c r="O5" s="418" t="s">
        <v>26</v>
      </c>
      <c r="P5" s="419"/>
      <c r="Q5" s="419"/>
      <c r="R5" s="419"/>
      <c r="S5" s="419"/>
      <c r="T5" s="420"/>
      <c r="V5" s="330" t="s">
        <v>10</v>
      </c>
      <c r="W5" s="331"/>
      <c r="X5" s="331"/>
      <c r="Y5" s="332"/>
    </row>
    <row r="6" spans="2:25" customFormat="1" ht="15.75" thickBot="1" x14ac:dyDescent="0.3">
      <c r="B6" s="149"/>
      <c r="C6" s="150"/>
      <c r="D6" s="150"/>
      <c r="E6" s="150"/>
      <c r="F6" s="151"/>
      <c r="H6" s="149"/>
      <c r="I6" s="150"/>
      <c r="J6" s="150"/>
      <c r="K6" s="150"/>
      <c r="L6" s="150"/>
      <c r="M6" s="151"/>
      <c r="O6" s="149"/>
      <c r="P6" s="150"/>
      <c r="Q6" s="150"/>
      <c r="R6" s="150"/>
      <c r="S6" s="150"/>
      <c r="T6" s="151"/>
      <c r="V6" s="385" t="s">
        <v>9</v>
      </c>
      <c r="W6" s="386"/>
      <c r="X6" s="386"/>
      <c r="Y6" s="387"/>
    </row>
    <row r="7" spans="2:25" x14ac:dyDescent="0.25">
      <c r="B7" s="152"/>
      <c r="C7" s="398" t="s">
        <v>3</v>
      </c>
      <c r="D7" s="400" t="s">
        <v>24</v>
      </c>
      <c r="E7" s="402" t="s">
        <v>22</v>
      </c>
      <c r="F7" s="153"/>
      <c r="H7" s="152"/>
      <c r="I7" s="398" t="s">
        <v>3</v>
      </c>
      <c r="J7" s="400" t="s">
        <v>24</v>
      </c>
      <c r="K7" s="421" t="s">
        <v>20</v>
      </c>
      <c r="L7" s="409" t="s">
        <v>21</v>
      </c>
      <c r="M7" s="160"/>
      <c r="N7" s="79"/>
      <c r="O7" s="164"/>
      <c r="P7" s="416" t="s">
        <v>3</v>
      </c>
      <c r="Q7" s="414" t="s">
        <v>18</v>
      </c>
      <c r="R7" s="414" t="s">
        <v>19</v>
      </c>
      <c r="S7" s="412" t="s">
        <v>20</v>
      </c>
      <c r="T7" s="127"/>
    </row>
    <row r="8" spans="2:25" ht="15.75" thickBot="1" x14ac:dyDescent="0.3">
      <c r="B8" s="124"/>
      <c r="C8" s="399"/>
      <c r="D8" s="401"/>
      <c r="E8" s="403"/>
      <c r="F8" s="153"/>
      <c r="H8" s="124"/>
      <c r="I8" s="399"/>
      <c r="J8" s="401"/>
      <c r="K8" s="422"/>
      <c r="L8" s="410"/>
      <c r="M8" s="161"/>
      <c r="N8" s="24"/>
      <c r="O8" s="124"/>
      <c r="P8" s="417"/>
      <c r="Q8" s="415"/>
      <c r="R8" s="415"/>
      <c r="S8" s="413"/>
      <c r="T8" s="127"/>
      <c r="V8" s="408" t="s">
        <v>11</v>
      </c>
      <c r="W8" s="408"/>
      <c r="X8" s="408"/>
      <c r="Y8" s="408"/>
    </row>
    <row r="9" spans="2:25" x14ac:dyDescent="0.25">
      <c r="B9" s="124">
        <f>B8+1</f>
        <v>1</v>
      </c>
      <c r="C9" s="56"/>
      <c r="D9" s="98"/>
      <c r="E9" s="86"/>
      <c r="F9" s="154"/>
      <c r="H9" s="124">
        <f t="shared" ref="H9:H22" si="0">H8+1</f>
        <v>1</v>
      </c>
      <c r="I9" s="78">
        <f t="shared" ref="I9:I22" si="1">C9</f>
        <v>0</v>
      </c>
      <c r="J9" s="92">
        <f t="shared" ref="J9:J22" si="2">D9</f>
        <v>0</v>
      </c>
      <c r="K9" s="83"/>
      <c r="L9" s="80">
        <f>IFERROR((J9*K9)/1000,"")</f>
        <v>0</v>
      </c>
      <c r="M9" s="161"/>
      <c r="N9" s="24"/>
      <c r="O9" s="124">
        <f t="shared" ref="O9:O22" si="3">O8+1</f>
        <v>1</v>
      </c>
      <c r="P9" s="78">
        <f t="shared" ref="P9:P22" si="4">C9</f>
        <v>0</v>
      </c>
      <c r="Q9" s="89"/>
      <c r="R9" s="83"/>
      <c r="S9" s="95" t="str">
        <f>IFERROR((R9/Q9)*1000,"")</f>
        <v/>
      </c>
      <c r="T9" s="127"/>
      <c r="V9" s="333"/>
      <c r="W9" s="334"/>
      <c r="X9" s="334"/>
      <c r="Y9" s="335"/>
    </row>
    <row r="10" spans="2:25" x14ac:dyDescent="0.25">
      <c r="B10" s="124">
        <f t="shared" ref="B10:B22" si="5">B9+1</f>
        <v>2</v>
      </c>
      <c r="C10" s="42"/>
      <c r="D10" s="46"/>
      <c r="E10" s="87"/>
      <c r="F10" s="154"/>
      <c r="H10" s="124">
        <f t="shared" si="0"/>
        <v>2</v>
      </c>
      <c r="I10" s="26">
        <f t="shared" si="1"/>
        <v>0</v>
      </c>
      <c r="J10" s="93">
        <f t="shared" si="2"/>
        <v>0</v>
      </c>
      <c r="K10" s="84"/>
      <c r="L10" s="81">
        <f t="shared" ref="L10:L22" si="6">IFERROR((J10*K10)/1000,"")</f>
        <v>0</v>
      </c>
      <c r="M10" s="161"/>
      <c r="N10" s="24"/>
      <c r="O10" s="124">
        <f t="shared" si="3"/>
        <v>2</v>
      </c>
      <c r="P10" s="26">
        <f t="shared" si="4"/>
        <v>0</v>
      </c>
      <c r="Q10" s="90"/>
      <c r="R10" s="84"/>
      <c r="S10" s="96" t="str">
        <f t="shared" ref="S10:S22" si="7">IFERROR((R10/Q10)*1000,"")</f>
        <v/>
      </c>
      <c r="T10" s="127"/>
      <c r="V10" s="336"/>
      <c r="W10" s="337"/>
      <c r="X10" s="337"/>
      <c r="Y10" s="338"/>
    </row>
    <row r="11" spans="2:25" x14ac:dyDescent="0.25">
      <c r="B11" s="124">
        <f t="shared" si="5"/>
        <v>3</v>
      </c>
      <c r="C11" s="42"/>
      <c r="D11" s="46"/>
      <c r="E11" s="87"/>
      <c r="F11" s="154"/>
      <c r="H11" s="124">
        <f t="shared" si="0"/>
        <v>3</v>
      </c>
      <c r="I11" s="26">
        <f t="shared" si="1"/>
        <v>0</v>
      </c>
      <c r="J11" s="93">
        <f t="shared" si="2"/>
        <v>0</v>
      </c>
      <c r="K11" s="84"/>
      <c r="L11" s="81">
        <f t="shared" si="6"/>
        <v>0</v>
      </c>
      <c r="M11" s="161"/>
      <c r="N11" s="24"/>
      <c r="O11" s="124">
        <f t="shared" si="3"/>
        <v>3</v>
      </c>
      <c r="P11" s="26">
        <f t="shared" si="4"/>
        <v>0</v>
      </c>
      <c r="Q11" s="90"/>
      <c r="R11" s="84"/>
      <c r="S11" s="96" t="str">
        <f t="shared" si="7"/>
        <v/>
      </c>
      <c r="T11" s="127"/>
      <c r="V11" s="336"/>
      <c r="W11" s="337"/>
      <c r="X11" s="337"/>
      <c r="Y11" s="338"/>
    </row>
    <row r="12" spans="2:25" x14ac:dyDescent="0.25">
      <c r="B12" s="124">
        <f t="shared" si="5"/>
        <v>4</v>
      </c>
      <c r="C12" s="42"/>
      <c r="D12" s="46"/>
      <c r="E12" s="87"/>
      <c r="F12" s="154"/>
      <c r="H12" s="124">
        <f t="shared" si="0"/>
        <v>4</v>
      </c>
      <c r="I12" s="26">
        <f t="shared" si="1"/>
        <v>0</v>
      </c>
      <c r="J12" s="93">
        <f t="shared" si="2"/>
        <v>0</v>
      </c>
      <c r="K12" s="84"/>
      <c r="L12" s="81">
        <f t="shared" si="6"/>
        <v>0</v>
      </c>
      <c r="M12" s="161"/>
      <c r="N12" s="24"/>
      <c r="O12" s="124">
        <f t="shared" si="3"/>
        <v>4</v>
      </c>
      <c r="P12" s="26">
        <f t="shared" si="4"/>
        <v>0</v>
      </c>
      <c r="Q12" s="90"/>
      <c r="R12" s="84"/>
      <c r="S12" s="96" t="str">
        <f t="shared" si="7"/>
        <v/>
      </c>
      <c r="T12" s="127"/>
      <c r="V12" s="336"/>
      <c r="W12" s="337"/>
      <c r="X12" s="337"/>
      <c r="Y12" s="338"/>
    </row>
    <row r="13" spans="2:25" x14ac:dyDescent="0.25">
      <c r="B13" s="124">
        <f t="shared" si="5"/>
        <v>5</v>
      </c>
      <c r="C13" s="42"/>
      <c r="D13" s="46"/>
      <c r="E13" s="87"/>
      <c r="F13" s="154"/>
      <c r="H13" s="124">
        <f t="shared" si="0"/>
        <v>5</v>
      </c>
      <c r="I13" s="26">
        <f t="shared" si="1"/>
        <v>0</v>
      </c>
      <c r="J13" s="93">
        <f t="shared" si="2"/>
        <v>0</v>
      </c>
      <c r="K13" s="84"/>
      <c r="L13" s="81">
        <f t="shared" si="6"/>
        <v>0</v>
      </c>
      <c r="M13" s="161"/>
      <c r="N13" s="24"/>
      <c r="O13" s="124">
        <f t="shared" si="3"/>
        <v>5</v>
      </c>
      <c r="P13" s="26">
        <f t="shared" si="4"/>
        <v>0</v>
      </c>
      <c r="Q13" s="90"/>
      <c r="R13" s="84"/>
      <c r="S13" s="96" t="str">
        <f t="shared" si="7"/>
        <v/>
      </c>
      <c r="T13" s="127"/>
      <c r="V13" s="336"/>
      <c r="W13" s="337"/>
      <c r="X13" s="337"/>
      <c r="Y13" s="338"/>
    </row>
    <row r="14" spans="2:25" x14ac:dyDescent="0.25">
      <c r="B14" s="124">
        <f t="shared" si="5"/>
        <v>6</v>
      </c>
      <c r="C14" s="42"/>
      <c r="D14" s="46"/>
      <c r="E14" s="166"/>
      <c r="F14" s="154"/>
      <c r="H14" s="124">
        <f t="shared" si="0"/>
        <v>6</v>
      </c>
      <c r="I14" s="26">
        <f t="shared" si="1"/>
        <v>0</v>
      </c>
      <c r="J14" s="93">
        <f t="shared" si="2"/>
        <v>0</v>
      </c>
      <c r="K14" s="84"/>
      <c r="L14" s="81">
        <f t="shared" si="6"/>
        <v>0</v>
      </c>
      <c r="M14" s="161"/>
      <c r="N14" s="24"/>
      <c r="O14" s="124">
        <f t="shared" si="3"/>
        <v>6</v>
      </c>
      <c r="P14" s="26">
        <f t="shared" si="4"/>
        <v>0</v>
      </c>
      <c r="Q14" s="90"/>
      <c r="R14" s="84"/>
      <c r="S14" s="96" t="str">
        <f t="shared" si="7"/>
        <v/>
      </c>
      <c r="T14" s="127"/>
      <c r="V14" s="336"/>
      <c r="W14" s="337"/>
      <c r="X14" s="337"/>
      <c r="Y14" s="338"/>
    </row>
    <row r="15" spans="2:25" x14ac:dyDescent="0.25">
      <c r="B15" s="124">
        <f t="shared" si="5"/>
        <v>7</v>
      </c>
      <c r="C15" s="42"/>
      <c r="D15" s="46"/>
      <c r="E15" s="87"/>
      <c r="F15" s="154"/>
      <c r="H15" s="124">
        <f t="shared" si="0"/>
        <v>7</v>
      </c>
      <c r="I15" s="26">
        <f t="shared" si="1"/>
        <v>0</v>
      </c>
      <c r="J15" s="93">
        <f t="shared" si="2"/>
        <v>0</v>
      </c>
      <c r="K15" s="84"/>
      <c r="L15" s="81">
        <f t="shared" si="6"/>
        <v>0</v>
      </c>
      <c r="M15" s="161"/>
      <c r="N15" s="24"/>
      <c r="O15" s="124">
        <f t="shared" si="3"/>
        <v>7</v>
      </c>
      <c r="P15" s="26">
        <f t="shared" si="4"/>
        <v>0</v>
      </c>
      <c r="Q15" s="90"/>
      <c r="R15" s="84"/>
      <c r="S15" s="96" t="str">
        <f t="shared" si="7"/>
        <v/>
      </c>
      <c r="T15" s="127"/>
      <c r="V15" s="336"/>
      <c r="W15" s="337"/>
      <c r="X15" s="337"/>
      <c r="Y15" s="338"/>
    </row>
    <row r="16" spans="2:25" x14ac:dyDescent="0.25">
      <c r="B16" s="124">
        <f t="shared" si="5"/>
        <v>8</v>
      </c>
      <c r="C16" s="42"/>
      <c r="D16" s="46"/>
      <c r="E16" s="87"/>
      <c r="F16" s="154"/>
      <c r="H16" s="124">
        <f t="shared" si="0"/>
        <v>8</v>
      </c>
      <c r="I16" s="26">
        <f t="shared" si="1"/>
        <v>0</v>
      </c>
      <c r="J16" s="93">
        <f t="shared" si="2"/>
        <v>0</v>
      </c>
      <c r="K16" s="84"/>
      <c r="L16" s="81">
        <f t="shared" si="6"/>
        <v>0</v>
      </c>
      <c r="M16" s="161"/>
      <c r="N16" s="24"/>
      <c r="O16" s="124">
        <f t="shared" si="3"/>
        <v>8</v>
      </c>
      <c r="P16" s="26">
        <f t="shared" si="4"/>
        <v>0</v>
      </c>
      <c r="Q16" s="90"/>
      <c r="R16" s="84"/>
      <c r="S16" s="96" t="str">
        <f t="shared" si="7"/>
        <v/>
      </c>
      <c r="T16" s="127"/>
      <c r="V16" s="336"/>
      <c r="W16" s="337"/>
      <c r="X16" s="337"/>
      <c r="Y16" s="338"/>
    </row>
    <row r="17" spans="2:25" x14ac:dyDescent="0.25">
      <c r="B17" s="124">
        <f t="shared" si="5"/>
        <v>9</v>
      </c>
      <c r="C17" s="42"/>
      <c r="D17" s="46"/>
      <c r="E17" s="87"/>
      <c r="F17" s="154"/>
      <c r="H17" s="124">
        <f t="shared" si="0"/>
        <v>9</v>
      </c>
      <c r="I17" s="26">
        <f t="shared" si="1"/>
        <v>0</v>
      </c>
      <c r="J17" s="93">
        <f t="shared" si="2"/>
        <v>0</v>
      </c>
      <c r="K17" s="84"/>
      <c r="L17" s="81">
        <f t="shared" si="6"/>
        <v>0</v>
      </c>
      <c r="M17" s="161"/>
      <c r="N17" s="24"/>
      <c r="O17" s="124">
        <f t="shared" si="3"/>
        <v>9</v>
      </c>
      <c r="P17" s="26">
        <f t="shared" si="4"/>
        <v>0</v>
      </c>
      <c r="Q17" s="90"/>
      <c r="R17" s="84"/>
      <c r="S17" s="96" t="str">
        <f t="shared" si="7"/>
        <v/>
      </c>
      <c r="T17" s="127"/>
      <c r="V17" s="336"/>
      <c r="W17" s="337"/>
      <c r="X17" s="337"/>
      <c r="Y17" s="338"/>
    </row>
    <row r="18" spans="2:25" x14ac:dyDescent="0.25">
      <c r="B18" s="124">
        <f t="shared" si="5"/>
        <v>10</v>
      </c>
      <c r="C18" s="42"/>
      <c r="D18" s="46"/>
      <c r="E18" s="87"/>
      <c r="F18" s="154"/>
      <c r="H18" s="124">
        <f t="shared" si="0"/>
        <v>10</v>
      </c>
      <c r="I18" s="26">
        <f t="shared" si="1"/>
        <v>0</v>
      </c>
      <c r="J18" s="93">
        <f t="shared" si="2"/>
        <v>0</v>
      </c>
      <c r="K18" s="84"/>
      <c r="L18" s="81">
        <f t="shared" si="6"/>
        <v>0</v>
      </c>
      <c r="M18" s="161"/>
      <c r="N18" s="24"/>
      <c r="O18" s="124">
        <f t="shared" si="3"/>
        <v>10</v>
      </c>
      <c r="P18" s="26">
        <f t="shared" si="4"/>
        <v>0</v>
      </c>
      <c r="Q18" s="90"/>
      <c r="R18" s="84"/>
      <c r="S18" s="96" t="str">
        <f t="shared" si="7"/>
        <v/>
      </c>
      <c r="T18" s="127"/>
      <c r="V18" s="336"/>
      <c r="W18" s="337"/>
      <c r="X18" s="337"/>
      <c r="Y18" s="338"/>
    </row>
    <row r="19" spans="2:25" x14ac:dyDescent="0.25">
      <c r="B19" s="124">
        <f t="shared" si="5"/>
        <v>11</v>
      </c>
      <c r="C19" s="42"/>
      <c r="D19" s="46"/>
      <c r="E19" s="87"/>
      <c r="F19" s="154"/>
      <c r="H19" s="124">
        <f t="shared" si="0"/>
        <v>11</v>
      </c>
      <c r="I19" s="26">
        <f t="shared" si="1"/>
        <v>0</v>
      </c>
      <c r="J19" s="93">
        <f t="shared" si="2"/>
        <v>0</v>
      </c>
      <c r="K19" s="84"/>
      <c r="L19" s="81">
        <f t="shared" si="6"/>
        <v>0</v>
      </c>
      <c r="M19" s="161"/>
      <c r="N19" s="24"/>
      <c r="O19" s="124">
        <f t="shared" si="3"/>
        <v>11</v>
      </c>
      <c r="P19" s="26">
        <f t="shared" si="4"/>
        <v>0</v>
      </c>
      <c r="Q19" s="90"/>
      <c r="R19" s="84"/>
      <c r="S19" s="96" t="str">
        <f t="shared" si="7"/>
        <v/>
      </c>
      <c r="T19" s="127"/>
      <c r="V19" s="336"/>
      <c r="W19" s="337"/>
      <c r="X19" s="337"/>
      <c r="Y19" s="338"/>
    </row>
    <row r="20" spans="2:25" x14ac:dyDescent="0.25">
      <c r="B20" s="124">
        <f t="shared" si="5"/>
        <v>12</v>
      </c>
      <c r="C20" s="42"/>
      <c r="D20" s="46"/>
      <c r="E20" s="87"/>
      <c r="F20" s="154"/>
      <c r="H20" s="124">
        <f t="shared" si="0"/>
        <v>12</v>
      </c>
      <c r="I20" s="26">
        <f t="shared" si="1"/>
        <v>0</v>
      </c>
      <c r="J20" s="93">
        <f t="shared" si="2"/>
        <v>0</v>
      </c>
      <c r="K20" s="84"/>
      <c r="L20" s="81">
        <f t="shared" si="6"/>
        <v>0</v>
      </c>
      <c r="M20" s="161"/>
      <c r="N20" s="24"/>
      <c r="O20" s="124">
        <f t="shared" si="3"/>
        <v>12</v>
      </c>
      <c r="P20" s="26">
        <f t="shared" si="4"/>
        <v>0</v>
      </c>
      <c r="Q20" s="90"/>
      <c r="R20" s="84"/>
      <c r="S20" s="96" t="str">
        <f t="shared" si="7"/>
        <v/>
      </c>
      <c r="T20" s="127"/>
      <c r="V20" s="336"/>
      <c r="W20" s="337"/>
      <c r="X20" s="337"/>
      <c r="Y20" s="338"/>
    </row>
    <row r="21" spans="2:25" x14ac:dyDescent="0.25">
      <c r="B21" s="124">
        <f t="shared" si="5"/>
        <v>13</v>
      </c>
      <c r="C21" s="42"/>
      <c r="D21" s="46"/>
      <c r="E21" s="87"/>
      <c r="F21" s="154"/>
      <c r="H21" s="124">
        <f t="shared" si="0"/>
        <v>13</v>
      </c>
      <c r="I21" s="26">
        <f t="shared" si="1"/>
        <v>0</v>
      </c>
      <c r="J21" s="93">
        <f t="shared" si="2"/>
        <v>0</v>
      </c>
      <c r="K21" s="84"/>
      <c r="L21" s="81">
        <f t="shared" si="6"/>
        <v>0</v>
      </c>
      <c r="M21" s="161"/>
      <c r="N21" s="24"/>
      <c r="O21" s="124">
        <f t="shared" si="3"/>
        <v>13</v>
      </c>
      <c r="P21" s="26">
        <f t="shared" si="4"/>
        <v>0</v>
      </c>
      <c r="Q21" s="90"/>
      <c r="R21" s="84"/>
      <c r="S21" s="96" t="str">
        <f t="shared" si="7"/>
        <v/>
      </c>
      <c r="T21" s="127"/>
      <c r="V21" s="336"/>
      <c r="W21" s="337"/>
      <c r="X21" s="337"/>
      <c r="Y21" s="338"/>
    </row>
    <row r="22" spans="2:25" ht="15.75" thickBot="1" x14ac:dyDescent="0.3">
      <c r="B22" s="124">
        <f t="shared" si="5"/>
        <v>14</v>
      </c>
      <c r="C22" s="43"/>
      <c r="D22" s="47"/>
      <c r="E22" s="88"/>
      <c r="F22" s="154"/>
      <c r="H22" s="124">
        <f t="shared" si="0"/>
        <v>14</v>
      </c>
      <c r="I22" s="28">
        <f t="shared" si="1"/>
        <v>0</v>
      </c>
      <c r="J22" s="94">
        <f t="shared" si="2"/>
        <v>0</v>
      </c>
      <c r="K22" s="85"/>
      <c r="L22" s="82">
        <f t="shared" si="6"/>
        <v>0</v>
      </c>
      <c r="M22" s="161"/>
      <c r="N22" s="24"/>
      <c r="O22" s="124">
        <f t="shared" si="3"/>
        <v>14</v>
      </c>
      <c r="P22" s="28">
        <f t="shared" si="4"/>
        <v>0</v>
      </c>
      <c r="Q22" s="91"/>
      <c r="R22" s="85"/>
      <c r="S22" s="97" t="str">
        <f t="shared" si="7"/>
        <v/>
      </c>
      <c r="T22" s="127"/>
      <c r="V22" s="336"/>
      <c r="W22" s="337"/>
      <c r="X22" s="337"/>
      <c r="Y22" s="338"/>
    </row>
    <row r="23" spans="2:25" x14ac:dyDescent="0.25">
      <c r="B23" s="155"/>
      <c r="C23" s="99" t="s">
        <v>1</v>
      </c>
      <c r="D23" s="102">
        <f>SUM(D9:D22)</f>
        <v>0</v>
      </c>
      <c r="E23" s="2"/>
      <c r="F23" s="125"/>
      <c r="H23" s="155"/>
      <c r="I23" s="99" t="s">
        <v>25</v>
      </c>
      <c r="J23" s="102">
        <f>SUM(J9:J22)</f>
        <v>0</v>
      </c>
      <c r="K23" s="2"/>
      <c r="L23" s="2"/>
      <c r="M23" s="125"/>
      <c r="N23" s="2"/>
      <c r="O23" s="155"/>
      <c r="P23" s="2"/>
      <c r="Q23" s="2"/>
      <c r="R23" s="2"/>
      <c r="S23" s="2"/>
      <c r="T23" s="127"/>
      <c r="V23" s="336"/>
      <c r="W23" s="337"/>
      <c r="X23" s="337"/>
      <c r="Y23" s="338"/>
    </row>
    <row r="24" spans="2:25" x14ac:dyDescent="0.25">
      <c r="B24" s="155"/>
      <c r="C24" s="407" t="s">
        <v>23</v>
      </c>
      <c r="D24" s="407"/>
      <c r="E24" s="109">
        <f>SUM(E9:E22)</f>
        <v>0</v>
      </c>
      <c r="F24" s="125"/>
      <c r="H24" s="155"/>
      <c r="I24" s="99"/>
      <c r="J24" s="407" t="s">
        <v>23</v>
      </c>
      <c r="K24" s="407"/>
      <c r="L24" s="109">
        <f>SUM(L9:L22)</f>
        <v>0</v>
      </c>
      <c r="M24" s="125"/>
      <c r="N24" s="2"/>
      <c r="O24" s="155"/>
      <c r="P24" s="2"/>
      <c r="Q24" s="2"/>
      <c r="R24" s="2"/>
      <c r="S24" s="2"/>
      <c r="T24" s="127"/>
      <c r="V24" s="336"/>
      <c r="W24" s="337"/>
      <c r="X24" s="337"/>
      <c r="Y24" s="338"/>
    </row>
    <row r="25" spans="2:25" ht="15.75" thickBot="1" x14ac:dyDescent="0.3">
      <c r="B25" s="129"/>
      <c r="C25" s="156"/>
      <c r="D25" s="157" t="s">
        <v>49</v>
      </c>
      <c r="E25" s="158" t="str">
        <f>IFERROR((E24*1000)/D23,"")</f>
        <v/>
      </c>
      <c r="F25" s="159"/>
      <c r="H25" s="162"/>
      <c r="I25" s="133"/>
      <c r="J25" s="156"/>
      <c r="K25" s="157" t="s">
        <v>49</v>
      </c>
      <c r="L25" s="158" t="str">
        <f>IFERROR((L24*1000)/J23,"")</f>
        <v/>
      </c>
      <c r="M25" s="163"/>
      <c r="N25" s="2"/>
      <c r="O25" s="162"/>
      <c r="P25" s="133"/>
      <c r="Q25" s="133"/>
      <c r="R25" s="133"/>
      <c r="S25" s="133"/>
      <c r="T25" s="165"/>
      <c r="V25" s="336"/>
      <c r="W25" s="337"/>
      <c r="X25" s="337"/>
      <c r="Y25" s="338"/>
    </row>
    <row r="26" spans="2:25" ht="16.5" thickTop="1" thickBot="1" x14ac:dyDescent="0.3">
      <c r="B26" s="116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3"/>
      <c r="V26" s="336"/>
      <c r="W26" s="337"/>
      <c r="X26" s="337"/>
      <c r="Y26" s="338"/>
    </row>
    <row r="27" spans="2:25" ht="16.5" thickTop="1" thickBot="1" x14ac:dyDescent="0.3">
      <c r="B27" s="408" t="s">
        <v>57</v>
      </c>
      <c r="C27" s="408"/>
      <c r="D27" s="408"/>
      <c r="E27" s="408"/>
      <c r="H27" s="423" t="s">
        <v>57</v>
      </c>
      <c r="I27" s="423"/>
      <c r="J27" s="423"/>
      <c r="K27" s="423"/>
      <c r="L27" s="423"/>
      <c r="O27" s="423" t="s">
        <v>57</v>
      </c>
      <c r="P27" s="423"/>
      <c r="Q27" s="423"/>
      <c r="R27" s="423"/>
      <c r="S27" s="423"/>
      <c r="V27" s="336"/>
      <c r="W27" s="337"/>
      <c r="X27" s="337"/>
      <c r="Y27" s="338"/>
    </row>
    <row r="28" spans="2:25" x14ac:dyDescent="0.25">
      <c r="B28" s="333"/>
      <c r="C28" s="334"/>
      <c r="D28" s="334"/>
      <c r="E28" s="335"/>
      <c r="H28" s="333"/>
      <c r="I28" s="334"/>
      <c r="J28" s="334"/>
      <c r="K28" s="334"/>
      <c r="L28" s="335"/>
      <c r="O28" s="333"/>
      <c r="P28" s="334"/>
      <c r="Q28" s="334"/>
      <c r="R28" s="334"/>
      <c r="S28" s="335"/>
      <c r="V28" s="336"/>
      <c r="W28" s="337"/>
      <c r="X28" s="337"/>
      <c r="Y28" s="338"/>
    </row>
    <row r="29" spans="2:25" x14ac:dyDescent="0.25">
      <c r="B29" s="336"/>
      <c r="C29" s="337"/>
      <c r="D29" s="337"/>
      <c r="E29" s="338"/>
      <c r="H29" s="336"/>
      <c r="I29" s="337"/>
      <c r="J29" s="337"/>
      <c r="K29" s="337"/>
      <c r="L29" s="338"/>
      <c r="O29" s="336"/>
      <c r="P29" s="337"/>
      <c r="Q29" s="337"/>
      <c r="R29" s="337"/>
      <c r="S29" s="338"/>
      <c r="V29" s="336"/>
      <c r="W29" s="337"/>
      <c r="X29" s="337"/>
      <c r="Y29" s="338"/>
    </row>
    <row r="30" spans="2:25" x14ac:dyDescent="0.25">
      <c r="B30" s="336"/>
      <c r="C30" s="337"/>
      <c r="D30" s="337"/>
      <c r="E30" s="338"/>
      <c r="H30" s="336"/>
      <c r="I30" s="337"/>
      <c r="J30" s="337"/>
      <c r="K30" s="337"/>
      <c r="L30" s="338"/>
      <c r="O30" s="336"/>
      <c r="P30" s="337"/>
      <c r="Q30" s="337"/>
      <c r="R30" s="337"/>
      <c r="S30" s="338"/>
      <c r="V30" s="336"/>
      <c r="W30" s="337"/>
      <c r="X30" s="337"/>
      <c r="Y30" s="338"/>
    </row>
    <row r="31" spans="2:25" x14ac:dyDescent="0.25">
      <c r="B31" s="336"/>
      <c r="C31" s="337"/>
      <c r="D31" s="337"/>
      <c r="E31" s="338"/>
      <c r="H31" s="336"/>
      <c r="I31" s="337"/>
      <c r="J31" s="337"/>
      <c r="K31" s="337"/>
      <c r="L31" s="338"/>
      <c r="O31" s="336"/>
      <c r="P31" s="337"/>
      <c r="Q31" s="337"/>
      <c r="R31" s="337"/>
      <c r="S31" s="338"/>
      <c r="V31" s="336"/>
      <c r="W31" s="337"/>
      <c r="X31" s="337"/>
      <c r="Y31" s="338"/>
    </row>
    <row r="32" spans="2:25" x14ac:dyDescent="0.25">
      <c r="B32" s="336"/>
      <c r="C32" s="337"/>
      <c r="D32" s="337"/>
      <c r="E32" s="338"/>
      <c r="H32" s="336"/>
      <c r="I32" s="337"/>
      <c r="J32" s="337"/>
      <c r="K32" s="337"/>
      <c r="L32" s="338"/>
      <c r="O32" s="336"/>
      <c r="P32" s="337"/>
      <c r="Q32" s="337"/>
      <c r="R32" s="337"/>
      <c r="S32" s="338"/>
      <c r="V32" s="336"/>
      <c r="W32" s="337"/>
      <c r="X32" s="337"/>
      <c r="Y32" s="338"/>
    </row>
    <row r="33" spans="2:26" x14ac:dyDescent="0.25">
      <c r="B33" s="336"/>
      <c r="C33" s="337"/>
      <c r="D33" s="337"/>
      <c r="E33" s="338"/>
      <c r="H33" s="336"/>
      <c r="I33" s="337"/>
      <c r="J33" s="337"/>
      <c r="K33" s="337"/>
      <c r="L33" s="338"/>
      <c r="O33" s="336"/>
      <c r="P33" s="337"/>
      <c r="Q33" s="337"/>
      <c r="R33" s="337"/>
      <c r="S33" s="338"/>
      <c r="V33" s="336"/>
      <c r="W33" s="337"/>
      <c r="X33" s="337"/>
      <c r="Y33" s="338"/>
      <c r="Z33" s="328" t="s">
        <v>35</v>
      </c>
    </row>
    <row r="34" spans="2:26" ht="15.75" thickBot="1" x14ac:dyDescent="0.3">
      <c r="B34" s="339"/>
      <c r="C34" s="340"/>
      <c r="D34" s="340"/>
      <c r="E34" s="341"/>
      <c r="H34" s="339"/>
      <c r="I34" s="340"/>
      <c r="J34" s="340"/>
      <c r="K34" s="340"/>
      <c r="L34" s="341"/>
      <c r="O34" s="339"/>
      <c r="P34" s="340"/>
      <c r="Q34" s="340"/>
      <c r="R34" s="340"/>
      <c r="S34" s="341"/>
      <c r="V34" s="339"/>
      <c r="W34" s="340"/>
      <c r="X34" s="340"/>
      <c r="Y34" s="341"/>
      <c r="Z34" s="328"/>
    </row>
  </sheetData>
  <sheetProtection algorithmName="SHA-512" hashValue="qosvs2cw/9pla/R50y6jYqql3x4eY4xms/XV5Ss2YIKVj8YLNaPBXglBq2jrs1mtC05v/iwZUJOKkgfRSvt17w==" saltValue="kABAa+RiiSLxTRDuy5KOpA==" spinCount="100000" sheet="1" objects="1" scenarios="1"/>
  <mergeCells count="30">
    <mergeCell ref="V9:Y34"/>
    <mergeCell ref="B28:E34"/>
    <mergeCell ref="H28:L34"/>
    <mergeCell ref="O28:S34"/>
    <mergeCell ref="B27:E27"/>
    <mergeCell ref="H27:L27"/>
    <mergeCell ref="O27:S27"/>
    <mergeCell ref="Q7:Q8"/>
    <mergeCell ref="P7:P8"/>
    <mergeCell ref="V5:Y5"/>
    <mergeCell ref="B5:F5"/>
    <mergeCell ref="H5:M5"/>
    <mergeCell ref="O5:T5"/>
    <mergeCell ref="K7:K8"/>
    <mergeCell ref="Z33:Z34"/>
    <mergeCell ref="B2:T2"/>
    <mergeCell ref="C7:C8"/>
    <mergeCell ref="D7:D8"/>
    <mergeCell ref="E7:E8"/>
    <mergeCell ref="B3:T3"/>
    <mergeCell ref="C24:D24"/>
    <mergeCell ref="V8:Y8"/>
    <mergeCell ref="L7:L8"/>
    <mergeCell ref="I7:I8"/>
    <mergeCell ref="J7:J8"/>
    <mergeCell ref="V6:Y6"/>
    <mergeCell ref="J24:K24"/>
    <mergeCell ref="V4:Y4"/>
    <mergeCell ref="S7:S8"/>
    <mergeCell ref="R7:R8"/>
  </mergeCells>
  <hyperlinks>
    <hyperlink ref="C4" location="Меню!A1" display="M"/>
    <hyperlink ref="D4" location="Пояснения!A1" display="i"/>
    <hyperlink ref="Z33:Z34" location="Себестойност!A1" display="Ç"/>
  </hyperlinks>
  <printOptions horizontalCentered="1"/>
  <pageMargins left="0" right="0" top="0" bottom="0" header="0" footer="0"/>
  <pageSetup paperSize="9" scale="72" orientation="landscape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tabColor theme="4" tint="0.79998168889431442"/>
    <pageSetUpPr fitToPage="1"/>
  </sheetPr>
  <dimension ref="B1:E14"/>
  <sheetViews>
    <sheetView showGridLines="0" showRowColHeaders="0" zoomScaleNormal="100" workbookViewId="0"/>
  </sheetViews>
  <sheetFormatPr defaultColWidth="9.28515625" defaultRowHeight="15" x14ac:dyDescent="0.2"/>
  <cols>
    <col min="1" max="1" width="1.7109375" style="184" customWidth="1"/>
    <col min="2" max="2" width="36.28515625" style="183" bestFit="1" customWidth="1"/>
    <col min="3" max="3" width="101.42578125" style="182" customWidth="1"/>
    <col min="4" max="4" width="8" style="184" bestFit="1" customWidth="1"/>
    <col min="5" max="5" width="9.28515625" style="184" hidden="1" customWidth="1"/>
    <col min="6" max="16384" width="9.28515625" style="184"/>
  </cols>
  <sheetData>
    <row r="1" spans="2:5" ht="7.15" customHeight="1" thickBot="1" x14ac:dyDescent="0.25">
      <c r="C1" s="183"/>
      <c r="D1" s="183"/>
    </row>
    <row r="2" spans="2:5" ht="30" thickTop="1" thickBot="1" x14ac:dyDescent="0.3">
      <c r="B2" s="240" t="s">
        <v>33</v>
      </c>
      <c r="C2" s="241" t="s">
        <v>143</v>
      </c>
    </row>
    <row r="3" spans="2:5" ht="15.75" thickTop="1" thickBot="1" x14ac:dyDescent="0.25">
      <c r="C3" s="493" t="s">
        <v>145</v>
      </c>
      <c r="D3" s="186"/>
    </row>
    <row r="4" spans="2:5" s="185" customFormat="1" ht="7.15" customHeight="1" thickTop="1" x14ac:dyDescent="0.2">
      <c r="B4" s="244"/>
      <c r="C4" s="492"/>
    </row>
    <row r="5" spans="2:5" ht="21.75" customHeight="1" x14ac:dyDescent="0.25">
      <c r="B5" s="245" t="s">
        <v>89</v>
      </c>
      <c r="C5" s="242"/>
      <c r="E5" s="106">
        <v>1</v>
      </c>
    </row>
    <row r="6" spans="2:5" ht="21.75" customHeight="1" x14ac:dyDescent="0.25">
      <c r="B6" s="246" t="s">
        <v>88</v>
      </c>
      <c r="C6" s="243"/>
      <c r="E6" s="106">
        <v>1</v>
      </c>
    </row>
    <row r="7" spans="2:5" ht="7.15" customHeight="1" thickBot="1" x14ac:dyDescent="0.25">
      <c r="B7" s="247"/>
    </row>
    <row r="8" spans="2:5" thickTop="1" x14ac:dyDescent="0.25">
      <c r="B8" s="184"/>
      <c r="C8" s="184"/>
    </row>
    <row r="9" spans="2:5" thickBot="1" x14ac:dyDescent="0.3">
      <c r="B9" s="184"/>
      <c r="C9" s="184"/>
      <c r="D9" s="186"/>
    </row>
    <row r="10" spans="2:5" ht="4.9000000000000004" customHeight="1" thickBot="1" x14ac:dyDescent="0.25">
      <c r="B10" s="187"/>
      <c r="C10" s="188"/>
      <c r="D10" s="186"/>
    </row>
    <row r="11" spans="2:5" x14ac:dyDescent="0.2">
      <c r="B11" s="187"/>
      <c r="C11" s="188"/>
      <c r="D11" s="186"/>
    </row>
    <row r="13" spans="2:5" x14ac:dyDescent="0.2">
      <c r="D13" s="424" t="s">
        <v>35</v>
      </c>
    </row>
    <row r="14" spans="2:5" x14ac:dyDescent="0.2">
      <c r="D14" s="424"/>
    </row>
  </sheetData>
  <sheetProtection algorithmName="SHA-512" hashValue="d+xDx3IKlSVl0o9YcT5zg2lY8HbRp2kH/aEh193RBc22aApCfZLB5p1jwI+MLWyMHGnTvdjzvJFVq+hVcbmQwA==" saltValue="LVwMV6P7APB4a0D55ILxFA==" spinCount="100000" sheet="1" objects="1" scenarios="1"/>
  <mergeCells count="1">
    <mergeCell ref="D13:D14"/>
  </mergeCells>
  <hyperlinks>
    <hyperlink ref="B2" location="Меню!A1" display="&gt;&gt;&gt; МЕНЮ &lt;&lt;&lt;"/>
    <hyperlink ref="B5" location="'Инфо 1.2'!A1" display="&gt;&gt;&gt; Пояснения &lt;&lt;&lt;"/>
    <hyperlink ref="B6" location="'Инфо 2.2'!A1" display="&gt;&gt;&gt; Други пояснения &lt;&lt;&lt;"/>
    <hyperlink ref="D13" location="Пояснения!A1" display="Ç"/>
  </hyperlinks>
  <printOptions horizontalCentered="1"/>
  <pageMargins left="0" right="0" top="0" bottom="0" header="0" footer="0"/>
  <pageSetup paperSize="9" scale="69" fitToHeight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tabColor theme="4" tint="0.79998168889431442"/>
    <pageSetUpPr fitToPage="1"/>
  </sheetPr>
  <dimension ref="A1:F40"/>
  <sheetViews>
    <sheetView showGridLines="0" showRowColHeaders="0" zoomScaleNormal="100" workbookViewId="0"/>
  </sheetViews>
  <sheetFormatPr defaultColWidth="9.140625" defaultRowHeight="15.75" x14ac:dyDescent="0.2"/>
  <cols>
    <col min="1" max="1" width="1.7109375" style="103" customWidth="1"/>
    <col min="2" max="2" width="5.7109375" style="104" customWidth="1"/>
    <col min="3" max="3" width="36.28515625" style="104" bestFit="1" customWidth="1"/>
    <col min="4" max="4" width="104" style="104" customWidth="1"/>
    <col min="5" max="5" width="8" style="105" bestFit="1" customWidth="1"/>
    <col min="6" max="6" width="9.140625" style="118" hidden="1" customWidth="1"/>
    <col min="7" max="16384" width="9.140625" style="105"/>
  </cols>
  <sheetData>
    <row r="1" spans="1:6" ht="7.15" customHeight="1" thickBot="1" x14ac:dyDescent="0.25"/>
    <row r="2" spans="1:6" s="197" customFormat="1" ht="31.5" thickTop="1" thickBot="1" x14ac:dyDescent="0.25">
      <c r="A2" s="265"/>
      <c r="B2" s="266"/>
      <c r="C2" s="267" t="s">
        <v>33</v>
      </c>
      <c r="D2" s="268" t="str">
        <f>Пояснения!C2</f>
        <v>* Версия на файла: form-0.5.4-desktop / Паролата за премахване на защитите на файла е: 0000 ;</v>
      </c>
      <c r="E2" s="234" t="s">
        <v>37</v>
      </c>
      <c r="F2" s="205" t="s">
        <v>62</v>
      </c>
    </row>
    <row r="3" spans="1:6" s="197" customFormat="1" ht="17.25" customHeight="1" thickTop="1" thickBot="1" x14ac:dyDescent="0.25">
      <c r="A3" s="200"/>
      <c r="B3" s="196"/>
      <c r="C3" s="196"/>
      <c r="D3" s="199"/>
      <c r="E3" s="173"/>
      <c r="F3" s="198"/>
    </row>
    <row r="4" spans="1:6" ht="7.15" customHeight="1" thickTop="1" x14ac:dyDescent="0.2">
      <c r="B4" s="196"/>
      <c r="C4" s="269"/>
      <c r="D4" s="272"/>
    </row>
    <row r="5" spans="1:6" ht="18" customHeight="1" x14ac:dyDescent="0.2">
      <c r="A5" s="274"/>
      <c r="B5" s="250"/>
      <c r="C5" s="273" t="s">
        <v>89</v>
      </c>
      <c r="D5" s="236"/>
      <c r="F5" s="106">
        <v>1</v>
      </c>
    </row>
    <row r="6" spans="1:6" ht="18" customHeight="1" x14ac:dyDescent="0.2">
      <c r="A6" s="274"/>
      <c r="B6" s="251"/>
      <c r="C6" s="246" t="s">
        <v>88</v>
      </c>
      <c r="D6" s="252"/>
    </row>
    <row r="7" spans="1:6" ht="7.15" customHeight="1" thickBot="1" x14ac:dyDescent="0.25">
      <c r="B7" s="271"/>
      <c r="C7" s="270"/>
      <c r="D7" s="272"/>
    </row>
    <row r="8" spans="1:6" ht="24" thickTop="1" thickBot="1" x14ac:dyDescent="0.25">
      <c r="D8" s="235" t="s">
        <v>108</v>
      </c>
    </row>
    <row r="9" spans="1:6" s="106" customFormat="1" ht="18.75" thickBot="1" x14ac:dyDescent="0.25">
      <c r="A9" s="103"/>
      <c r="B9" s="201"/>
      <c r="C9" s="202" t="s">
        <v>67</v>
      </c>
      <c r="D9" s="253" t="s">
        <v>34</v>
      </c>
      <c r="F9" s="104">
        <v>1</v>
      </c>
    </row>
    <row r="10" spans="1:6" ht="30" x14ac:dyDescent="0.25">
      <c r="B10" s="425" t="s">
        <v>29</v>
      </c>
      <c r="C10" s="428" t="s">
        <v>64</v>
      </c>
      <c r="D10" s="254" t="s">
        <v>137</v>
      </c>
      <c r="F10" s="205" t="s">
        <v>62</v>
      </c>
    </row>
    <row r="11" spans="1:6" ht="45" customHeight="1" x14ac:dyDescent="0.2">
      <c r="B11" s="426"/>
      <c r="C11" s="429"/>
      <c r="D11" s="255" t="s">
        <v>117</v>
      </c>
      <c r="F11" s="205" t="s">
        <v>61</v>
      </c>
    </row>
    <row r="12" spans="1:6" ht="30" x14ac:dyDescent="0.2">
      <c r="B12" s="426"/>
      <c r="C12" s="429"/>
      <c r="D12" s="256" t="s">
        <v>41</v>
      </c>
      <c r="F12" s="205" t="s">
        <v>62</v>
      </c>
    </row>
    <row r="13" spans="1:6" ht="45.75" customHeight="1" thickBot="1" x14ac:dyDescent="0.25">
      <c r="B13" s="427"/>
      <c r="C13" s="430"/>
      <c r="D13" s="257" t="s">
        <v>139</v>
      </c>
      <c r="F13" s="205" t="s">
        <v>61</v>
      </c>
    </row>
    <row r="14" spans="1:6" ht="45" customHeight="1" x14ac:dyDescent="0.25">
      <c r="B14" s="425" t="s">
        <v>30</v>
      </c>
      <c r="C14" s="431" t="s">
        <v>65</v>
      </c>
      <c r="D14" s="258" t="s">
        <v>140</v>
      </c>
      <c r="F14" s="205" t="s">
        <v>61</v>
      </c>
    </row>
    <row r="15" spans="1:6" ht="45" customHeight="1" x14ac:dyDescent="0.2">
      <c r="B15" s="426"/>
      <c r="C15" s="429"/>
      <c r="D15" s="255" t="s">
        <v>68</v>
      </c>
      <c r="F15" s="205" t="s">
        <v>61</v>
      </c>
    </row>
    <row r="16" spans="1:6" ht="60.75" customHeight="1" thickBot="1" x14ac:dyDescent="0.25">
      <c r="B16" s="427"/>
      <c r="C16" s="430"/>
      <c r="D16" s="259" t="s">
        <v>75</v>
      </c>
      <c r="F16" s="205" t="s">
        <v>66</v>
      </c>
    </row>
    <row r="17" spans="1:6" ht="45.75" customHeight="1" thickBot="1" x14ac:dyDescent="0.25">
      <c r="B17" s="203" t="s">
        <v>31</v>
      </c>
      <c r="C17" s="204" t="s">
        <v>40</v>
      </c>
      <c r="D17" s="323" t="s">
        <v>141</v>
      </c>
      <c r="F17" s="205" t="s">
        <v>61</v>
      </c>
    </row>
    <row r="18" spans="1:6" ht="30" x14ac:dyDescent="0.2">
      <c r="B18" s="425" t="s">
        <v>111</v>
      </c>
      <c r="C18" s="428" t="s">
        <v>39</v>
      </c>
      <c r="D18" s="260" t="s">
        <v>42</v>
      </c>
      <c r="F18" s="205" t="s">
        <v>62</v>
      </c>
    </row>
    <row r="19" spans="1:6" ht="30" customHeight="1" x14ac:dyDescent="0.2">
      <c r="B19" s="426"/>
      <c r="C19" s="429"/>
      <c r="D19" s="261" t="s">
        <v>138</v>
      </c>
      <c r="F19" s="205" t="s">
        <v>62</v>
      </c>
    </row>
    <row r="20" spans="1:6" ht="45" customHeight="1" x14ac:dyDescent="0.2">
      <c r="B20" s="426"/>
      <c r="C20" s="429"/>
      <c r="D20" s="262" t="s">
        <v>79</v>
      </c>
      <c r="F20" s="205" t="s">
        <v>61</v>
      </c>
    </row>
    <row r="21" spans="1:6" ht="30" x14ac:dyDescent="0.2">
      <c r="B21" s="426"/>
      <c r="C21" s="429"/>
      <c r="D21" s="263" t="s">
        <v>43</v>
      </c>
      <c r="F21" s="205" t="s">
        <v>62</v>
      </c>
    </row>
    <row r="22" spans="1:6" ht="45" customHeight="1" x14ac:dyDescent="0.2">
      <c r="B22" s="426"/>
      <c r="C22" s="429"/>
      <c r="D22" s="262" t="s">
        <v>80</v>
      </c>
      <c r="F22" s="205" t="s">
        <v>61</v>
      </c>
    </row>
    <row r="23" spans="1:6" ht="30" x14ac:dyDescent="0.2">
      <c r="B23" s="426"/>
      <c r="C23" s="429"/>
      <c r="D23" s="263" t="s">
        <v>63</v>
      </c>
      <c r="F23" s="205" t="s">
        <v>62</v>
      </c>
    </row>
    <row r="24" spans="1:6" ht="45.75" customHeight="1" thickBot="1" x14ac:dyDescent="0.25">
      <c r="B24" s="427"/>
      <c r="C24" s="430"/>
      <c r="D24" s="259" t="s">
        <v>69</v>
      </c>
      <c r="F24" s="205" t="s">
        <v>61</v>
      </c>
    </row>
    <row r="25" spans="1:6" ht="45.75" customHeight="1" x14ac:dyDescent="0.25">
      <c r="B25" s="425" t="s">
        <v>32</v>
      </c>
      <c r="C25" s="428" t="s">
        <v>38</v>
      </c>
      <c r="D25" s="258" t="s">
        <v>142</v>
      </c>
      <c r="F25" s="205" t="s">
        <v>61</v>
      </c>
    </row>
    <row r="26" spans="1:6" ht="60" customHeight="1" x14ac:dyDescent="0.2">
      <c r="B26" s="426"/>
      <c r="C26" s="429"/>
      <c r="D26" s="322" t="s">
        <v>77</v>
      </c>
      <c r="F26" s="205" t="s">
        <v>66</v>
      </c>
    </row>
    <row r="27" spans="1:6" ht="60.75" customHeight="1" thickBot="1" x14ac:dyDescent="0.25">
      <c r="B27" s="427"/>
      <c r="C27" s="430"/>
      <c r="D27" s="264" t="s">
        <v>78</v>
      </c>
      <c r="F27" s="205" t="s">
        <v>66</v>
      </c>
    </row>
    <row r="28" spans="1:6" ht="45.75" customHeight="1" x14ac:dyDescent="0.25">
      <c r="B28" s="425" t="s">
        <v>60</v>
      </c>
      <c r="C28" s="431" t="s">
        <v>133</v>
      </c>
      <c r="D28" s="258" t="s">
        <v>134</v>
      </c>
      <c r="F28" s="205" t="s">
        <v>61</v>
      </c>
    </row>
    <row r="29" spans="1:6" ht="30" x14ac:dyDescent="0.2">
      <c r="B29" s="426"/>
      <c r="C29" s="429"/>
      <c r="D29" s="322" t="s">
        <v>135</v>
      </c>
      <c r="F29" s="205" t="s">
        <v>62</v>
      </c>
    </row>
    <row r="30" spans="1:6" ht="15" x14ac:dyDescent="0.2">
      <c r="B30" s="426"/>
      <c r="C30" s="429"/>
      <c r="D30" s="322" t="s">
        <v>130</v>
      </c>
      <c r="F30" s="205"/>
    </row>
    <row r="31" spans="1:6" ht="30.75" thickBot="1" x14ac:dyDescent="0.25">
      <c r="B31" s="427"/>
      <c r="C31" s="430"/>
      <c r="D31" s="264" t="s">
        <v>136</v>
      </c>
      <c r="F31" s="205" t="s">
        <v>62</v>
      </c>
    </row>
    <row r="32" spans="1:6" x14ac:dyDescent="0.25">
      <c r="A32" s="119"/>
    </row>
    <row r="33" spans="2:6" s="184" customFormat="1" ht="15" thickBot="1" x14ac:dyDescent="0.3">
      <c r="E33" s="186"/>
      <c r="F33" s="186"/>
    </row>
    <row r="34" spans="2:6" s="184" customFormat="1" ht="4.9000000000000004" customHeight="1" thickBot="1" x14ac:dyDescent="0.3">
      <c r="B34" s="188"/>
      <c r="C34" s="188"/>
      <c r="D34" s="188"/>
      <c r="E34" s="189"/>
      <c r="F34" s="189"/>
    </row>
    <row r="35" spans="2:6" s="182" customFormat="1" thickBot="1" x14ac:dyDescent="0.3">
      <c r="B35" s="188"/>
      <c r="C35" s="188"/>
      <c r="D35" s="188"/>
      <c r="E35" s="189"/>
      <c r="F35" s="189"/>
    </row>
    <row r="36" spans="2:6" s="182" customFormat="1" ht="7.15" customHeight="1" thickTop="1" x14ac:dyDescent="0.25">
      <c r="B36" s="271"/>
      <c r="C36" s="269"/>
      <c r="D36" s="272"/>
      <c r="F36" s="189"/>
    </row>
    <row r="37" spans="2:6" s="182" customFormat="1" ht="18" x14ac:dyDescent="0.25">
      <c r="B37" s="250"/>
      <c r="C37" s="273" t="s">
        <v>89</v>
      </c>
      <c r="D37" s="250"/>
      <c r="E37" s="424" t="s">
        <v>35</v>
      </c>
      <c r="F37" s="106">
        <v>1</v>
      </c>
    </row>
    <row r="38" spans="2:6" s="182" customFormat="1" ht="18" x14ac:dyDescent="0.25">
      <c r="B38" s="251"/>
      <c r="C38" s="246" t="s">
        <v>88</v>
      </c>
      <c r="D38" s="251"/>
      <c r="E38" s="424"/>
      <c r="F38" s="275"/>
    </row>
    <row r="39" spans="2:6" s="182" customFormat="1" ht="7.15" customHeight="1" thickBot="1" x14ac:dyDescent="0.3">
      <c r="B39" s="271"/>
      <c r="C39" s="270"/>
      <c r="D39" s="272"/>
      <c r="E39" s="189"/>
      <c r="F39" s="189"/>
    </row>
    <row r="40" spans="2:6" ht="16.5" thickTop="1" x14ac:dyDescent="0.2">
      <c r="C40" s="196"/>
      <c r="D40" s="196"/>
      <c r="E40" s="197"/>
      <c r="F40" s="198"/>
    </row>
  </sheetData>
  <sheetProtection algorithmName="SHA-512" hashValue="7XExV6694jpLpDsH1n7o2U+P7bpmIP/JZAdJnB2qxaB8bg0VgNykRRCP9bfZagEJiZGMliLTBL0NxmNTztnnqA==" saltValue="3gVdReJPjE7OObqKxI2C0g==" spinCount="100000" sheet="1" objects="1" scenarios="1"/>
  <mergeCells count="11">
    <mergeCell ref="E37:E38"/>
    <mergeCell ref="B25:B27"/>
    <mergeCell ref="C25:C27"/>
    <mergeCell ref="B18:B24"/>
    <mergeCell ref="B28:B31"/>
    <mergeCell ref="C28:C31"/>
    <mergeCell ref="B14:B16"/>
    <mergeCell ref="C18:C24"/>
    <mergeCell ref="C14:C16"/>
    <mergeCell ref="B10:B13"/>
    <mergeCell ref="C10:C13"/>
  </mergeCells>
  <hyperlinks>
    <hyperlink ref="E37" location="Пояснения!A1" display="Ç"/>
    <hyperlink ref="C6" location="'Инфо 1.4'!A1" display="&gt;&gt;&gt; Кратки пояснения &lt;&lt;&lt;"/>
    <hyperlink ref="B6:C6" location="'Инфо 2.2'!A1" display="&gt;&gt;&gt; Други пояснения &lt;&lt;&lt;"/>
    <hyperlink ref="B38:C38" location="'Инфо 2.2'!A1" display="&gt;&gt;&gt; Други пояснения &lt;&lt;&lt;"/>
    <hyperlink ref="C2" location="Меню!A1" display="&gt;&gt;&gt; МЕНЮ &lt;&lt;&lt;"/>
    <hyperlink ref="C38" location="'Инфо 2.2'!A1" display="&gt;&gt;&gt; Други пояснения &lt;&lt;&lt;"/>
    <hyperlink ref="E2" location="Пояснения!A1" display="&gt;&gt;&gt; i &lt;&lt;&lt;"/>
    <hyperlink ref="E37:E38" location="'Инфо 1.2'!A1" display="Ç"/>
  </hyperlinks>
  <pageMargins left="0.7" right="0.7" top="0.75" bottom="0.75" header="0.3" footer="0.3"/>
  <pageSetup paperSize="9" scale="5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tabColor theme="4" tint="0.79998168889431442"/>
    <pageSetUpPr fitToPage="1"/>
  </sheetPr>
  <dimension ref="B1:E37"/>
  <sheetViews>
    <sheetView showGridLines="0" showRowColHeaders="0" zoomScaleNormal="100" workbookViewId="0"/>
  </sheetViews>
  <sheetFormatPr defaultColWidth="9.28515625" defaultRowHeight="15" x14ac:dyDescent="0.25"/>
  <cols>
    <col min="1" max="1" width="1.7109375" style="184" customWidth="1"/>
    <col min="2" max="2" width="30" style="182" customWidth="1"/>
    <col min="3" max="3" width="101.42578125" style="182" customWidth="1"/>
    <col min="4" max="4" width="8" style="184" bestFit="1" customWidth="1"/>
    <col min="5" max="5" width="9.28515625" style="182" hidden="1" customWidth="1"/>
    <col min="6" max="16384" width="9.28515625" style="184"/>
  </cols>
  <sheetData>
    <row r="1" spans="2:5" ht="7.15" customHeight="1" thickBot="1" x14ac:dyDescent="0.25">
      <c r="B1" s="192"/>
      <c r="C1" s="192"/>
      <c r="D1" s="192"/>
    </row>
    <row r="2" spans="2:5" ht="31.5" customHeight="1" thickTop="1" thickBot="1" x14ac:dyDescent="0.3">
      <c r="B2" s="240" t="s">
        <v>33</v>
      </c>
      <c r="C2" s="241" t="str">
        <f>Пояснения!C2</f>
        <v>* Версия на файла: form-0.5.4-desktop / Паролата за премахване на защитите на файла е: 0000 ;</v>
      </c>
      <c r="D2" s="234" t="s">
        <v>37</v>
      </c>
      <c r="E2" s="195" t="s">
        <v>62</v>
      </c>
    </row>
    <row r="3" spans="2:5" ht="16.5" thickTop="1" thickBot="1" x14ac:dyDescent="0.25">
      <c r="B3" s="276"/>
    </row>
    <row r="4" spans="2:5" s="103" customFormat="1" ht="7.15" customHeight="1" thickTop="1" x14ac:dyDescent="0.2">
      <c r="B4" s="277"/>
    </row>
    <row r="5" spans="2:5" ht="17.45" customHeight="1" x14ac:dyDescent="0.25">
      <c r="B5" s="281" t="s">
        <v>89</v>
      </c>
      <c r="E5" s="184"/>
    </row>
    <row r="6" spans="2:5" ht="18" x14ac:dyDescent="0.25">
      <c r="B6" s="273" t="s">
        <v>88</v>
      </c>
      <c r="E6" s="106">
        <v>1</v>
      </c>
    </row>
    <row r="7" spans="2:5" ht="7.15" customHeight="1" thickBot="1" x14ac:dyDescent="0.25">
      <c r="B7" s="278"/>
      <c r="E7" s="184"/>
    </row>
    <row r="8" spans="2:5" s="193" customFormat="1" ht="24" thickTop="1" thickBot="1" x14ac:dyDescent="0.3">
      <c r="B8" s="432" t="s">
        <v>44</v>
      </c>
      <c r="C8" s="432"/>
      <c r="E8" s="194"/>
    </row>
    <row r="9" spans="2:5" s="193" customFormat="1" ht="105.75" thickBot="1" x14ac:dyDescent="0.3">
      <c r="B9" s="435" t="s">
        <v>90</v>
      </c>
      <c r="C9" s="436"/>
      <c r="E9" s="195" t="s">
        <v>91</v>
      </c>
    </row>
    <row r="10" spans="2:5" s="193" customFormat="1" ht="60.75" thickBot="1" x14ac:dyDescent="0.3">
      <c r="B10" s="437" t="s">
        <v>92</v>
      </c>
      <c r="C10" s="436"/>
      <c r="E10" s="195" t="s">
        <v>66</v>
      </c>
    </row>
    <row r="11" spans="2:5" s="193" customFormat="1" ht="45.75" thickBot="1" x14ac:dyDescent="0.3">
      <c r="B11" s="438" t="s">
        <v>45</v>
      </c>
      <c r="C11" s="436"/>
      <c r="E11" s="195" t="s">
        <v>61</v>
      </c>
    </row>
    <row r="12" spans="2:5" s="193" customFormat="1" ht="45.75" thickBot="1" x14ac:dyDescent="0.3">
      <c r="B12" s="438" t="s">
        <v>93</v>
      </c>
      <c r="C12" s="436"/>
      <c r="E12" s="195" t="s">
        <v>61</v>
      </c>
    </row>
    <row r="13" spans="2:5" s="193" customFormat="1" ht="105.75" thickBot="1" x14ac:dyDescent="0.3">
      <c r="B13" s="437" t="s">
        <v>94</v>
      </c>
      <c r="C13" s="436"/>
      <c r="E13" s="195" t="s">
        <v>91</v>
      </c>
    </row>
    <row r="14" spans="2:5" s="193" customFormat="1" ht="75.75" thickBot="1" x14ac:dyDescent="0.3">
      <c r="B14" s="437" t="s">
        <v>95</v>
      </c>
      <c r="C14" s="439"/>
      <c r="E14" s="195" t="s">
        <v>96</v>
      </c>
    </row>
    <row r="15" spans="2:5" s="193" customFormat="1" ht="105.75" thickBot="1" x14ac:dyDescent="0.3">
      <c r="B15" s="440" t="s">
        <v>97</v>
      </c>
      <c r="C15" s="441"/>
      <c r="E15" s="195" t="s">
        <v>91</v>
      </c>
    </row>
    <row r="16" spans="2:5" s="193" customFormat="1" ht="60.75" thickBot="1" x14ac:dyDescent="0.3">
      <c r="B16" s="437" t="s">
        <v>98</v>
      </c>
      <c r="C16" s="439"/>
      <c r="E16" s="195" t="s">
        <v>66</v>
      </c>
    </row>
    <row r="17" spans="2:5" s="193" customFormat="1" ht="75.75" thickBot="1" x14ac:dyDescent="0.3">
      <c r="B17" s="437" t="s">
        <v>99</v>
      </c>
      <c r="C17" s="439"/>
      <c r="E17" s="195" t="s">
        <v>96</v>
      </c>
    </row>
    <row r="18" spans="2:5" s="193" customFormat="1" ht="60" x14ac:dyDescent="0.25">
      <c r="B18" s="440" t="s">
        <v>100</v>
      </c>
      <c r="C18" s="442"/>
      <c r="E18" s="195" t="s">
        <v>66</v>
      </c>
    </row>
    <row r="19" spans="2:5" s="193" customFormat="1" ht="75" x14ac:dyDescent="0.25">
      <c r="B19" s="443" t="s">
        <v>101</v>
      </c>
      <c r="C19" s="444"/>
      <c r="E19" s="195" t="s">
        <v>96</v>
      </c>
    </row>
    <row r="20" spans="2:5" s="193" customFormat="1" ht="45.75" thickBot="1" x14ac:dyDescent="0.3">
      <c r="B20" s="433" t="s">
        <v>102</v>
      </c>
      <c r="C20" s="434"/>
      <c r="E20" s="195" t="s">
        <v>61</v>
      </c>
    </row>
    <row r="22" spans="2:5" s="193" customFormat="1" ht="23.25" thickBot="1" x14ac:dyDescent="0.3">
      <c r="B22" s="432" t="s">
        <v>103</v>
      </c>
      <c r="C22" s="432"/>
      <c r="E22" s="194"/>
    </row>
    <row r="23" spans="2:5" s="193" customFormat="1" ht="75.75" thickBot="1" x14ac:dyDescent="0.3">
      <c r="B23" s="435" t="s">
        <v>104</v>
      </c>
      <c r="C23" s="436"/>
      <c r="E23" s="195" t="s">
        <v>96</v>
      </c>
    </row>
    <row r="24" spans="2:5" s="193" customFormat="1" ht="90.75" thickBot="1" x14ac:dyDescent="0.3">
      <c r="B24" s="437" t="s">
        <v>105</v>
      </c>
      <c r="C24" s="436"/>
      <c r="E24" s="195" t="s">
        <v>106</v>
      </c>
    </row>
    <row r="25" spans="2:5" s="193" customFormat="1" ht="75.75" thickBot="1" x14ac:dyDescent="0.3">
      <c r="B25" s="437" t="s">
        <v>107</v>
      </c>
      <c r="C25" s="436"/>
      <c r="E25" s="195" t="s">
        <v>96</v>
      </c>
    </row>
    <row r="27" spans="2:5" ht="23.25" thickBot="1" x14ac:dyDescent="0.3">
      <c r="B27" s="432" t="s">
        <v>120</v>
      </c>
      <c r="C27" s="432"/>
    </row>
    <row r="28" spans="2:5" s="193" customFormat="1" ht="195.75" thickBot="1" x14ac:dyDescent="0.3">
      <c r="B28" s="437" t="s">
        <v>119</v>
      </c>
      <c r="C28" s="436"/>
      <c r="E28" s="195" t="s">
        <v>118</v>
      </c>
    </row>
    <row r="30" spans="2:5" thickBot="1" x14ac:dyDescent="0.3">
      <c r="B30" s="184"/>
      <c r="C30" s="184"/>
      <c r="D30" s="186"/>
      <c r="E30" s="184"/>
    </row>
    <row r="31" spans="2:5" ht="4.9000000000000004" customHeight="1" thickBot="1" x14ac:dyDescent="0.3">
      <c r="B31" s="188"/>
      <c r="C31" s="188"/>
      <c r="D31" s="186"/>
    </row>
    <row r="32" spans="2:5" s="182" customFormat="1" ht="15.75" thickBot="1" x14ac:dyDescent="0.3">
      <c r="B32" s="188"/>
      <c r="C32" s="188"/>
      <c r="D32" s="186"/>
    </row>
    <row r="33" spans="2:5" s="182" customFormat="1" ht="7.15" customHeight="1" thickTop="1" x14ac:dyDescent="0.2">
      <c r="B33" s="277"/>
      <c r="C33" s="189"/>
    </row>
    <row r="34" spans="2:5" s="182" customFormat="1" ht="17.45" customHeight="1" x14ac:dyDescent="0.25">
      <c r="B34" s="281" t="s">
        <v>89</v>
      </c>
      <c r="D34" s="445" t="s">
        <v>35</v>
      </c>
    </row>
    <row r="35" spans="2:5" s="182" customFormat="1" ht="18" customHeight="1" x14ac:dyDescent="0.25">
      <c r="B35" s="273" t="s">
        <v>88</v>
      </c>
      <c r="C35" s="190"/>
      <c r="D35" s="445"/>
      <c r="E35" s="106">
        <v>1</v>
      </c>
    </row>
    <row r="36" spans="2:5" s="182" customFormat="1" ht="7.15" customHeight="1" thickBot="1" x14ac:dyDescent="0.25">
      <c r="B36" s="278"/>
      <c r="C36" s="191"/>
      <c r="D36" s="184"/>
    </row>
    <row r="37" spans="2:5" s="182" customFormat="1" ht="15.75" thickTop="1" x14ac:dyDescent="0.25">
      <c r="D37" s="184"/>
    </row>
  </sheetData>
  <sheetProtection algorithmName="SHA-512" hashValue="rdklrQ/+cSOFctqHjHCEeONKnBFIqHO6CmZU6ljqKcI0psgds821F615neSki2DlmokbR/KFzZ0WkZbTigG5vw==" saltValue="FJ+bGyZk0RPE4tpMIULS/Q==" spinCount="100000" sheet="1" objects="1" scenarios="1"/>
  <mergeCells count="20">
    <mergeCell ref="B28:C28"/>
    <mergeCell ref="D34:D35"/>
    <mergeCell ref="B22:C22"/>
    <mergeCell ref="B23:C23"/>
    <mergeCell ref="B24:C24"/>
    <mergeCell ref="B25:C25"/>
    <mergeCell ref="B27:C27"/>
    <mergeCell ref="B8:C8"/>
    <mergeCell ref="B20:C20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</mergeCells>
  <hyperlinks>
    <hyperlink ref="B2" location="Меню!A1" display="&gt;&gt;&gt; МЕНЮ &lt;&lt;&lt;"/>
    <hyperlink ref="D34" location="'Инфо 3.4'!A1" display="Ç"/>
    <hyperlink ref="B5" location="'Инфо 1.2'!A1" display="&gt;&gt;&gt; Пояснения &lt;&lt;&lt;"/>
    <hyperlink ref="D2" location="Пояснения!A1" display="&gt;&gt;&gt; i &lt;&lt;&lt;"/>
    <hyperlink ref="B34" location="'Инфо 1.2'!A1" display="&gt;&gt;&gt; Пояснения &lt;&lt;&lt;"/>
    <hyperlink ref="D34:D35" location="'Инфо 2.2'!A1" display="Ç"/>
  </hyperlinks>
  <printOptions horizontalCentered="1"/>
  <pageMargins left="0" right="0" top="0" bottom="0" header="0" footer="0"/>
  <pageSetup paperSize="9" scale="69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>
    <tabColor theme="5" tint="0.79998168889431442"/>
    <pageSetUpPr fitToPage="1"/>
  </sheetPr>
  <dimension ref="B1:H16"/>
  <sheetViews>
    <sheetView showGridLines="0" showRowColHeaders="0" zoomScaleNormal="100" workbookViewId="0"/>
  </sheetViews>
  <sheetFormatPr defaultColWidth="9.140625" defaultRowHeight="14.25" x14ac:dyDescent="0.25"/>
  <cols>
    <col min="1" max="1" width="1.7109375" style="248" customWidth="1"/>
    <col min="2" max="2" width="4.42578125" style="248" bestFit="1" customWidth="1"/>
    <col min="3" max="3" width="42.140625" style="248" bestFit="1" customWidth="1"/>
    <col min="4" max="4" width="3.5703125" style="248" customWidth="1"/>
    <col min="5" max="5" width="7.85546875" style="107" bestFit="1" customWidth="1"/>
    <col min="6" max="6" width="7.85546875" style="248" customWidth="1"/>
    <col min="7" max="7" width="40" style="248" bestFit="1" customWidth="1"/>
    <col min="8" max="8" width="0" style="248" hidden="1" customWidth="1"/>
    <col min="9" max="16384" width="9.140625" style="248"/>
  </cols>
  <sheetData>
    <row r="1" spans="2:8" ht="6" customHeight="1" x14ac:dyDescent="0.25"/>
    <row r="2" spans="2:8" ht="25.5" x14ac:dyDescent="0.25">
      <c r="B2" s="446" t="s">
        <v>46</v>
      </c>
      <c r="C2" s="446"/>
    </row>
    <row r="3" spans="2:8" ht="15" thickBot="1" x14ac:dyDescent="0.3">
      <c r="B3" s="447"/>
      <c r="C3" s="447"/>
    </row>
    <row r="4" spans="2:8" ht="19.5" thickTop="1" x14ac:dyDescent="0.25">
      <c r="B4" s="448" t="s">
        <v>27</v>
      </c>
      <c r="C4" s="449"/>
      <c r="E4" s="371" t="s">
        <v>37</v>
      </c>
      <c r="G4" s="177" t="s">
        <v>81</v>
      </c>
    </row>
    <row r="5" spans="2:8" s="249" customFormat="1" ht="18.75" thickBot="1" x14ac:dyDescent="0.3">
      <c r="B5" s="450" t="s">
        <v>28</v>
      </c>
      <c r="C5" s="451"/>
      <c r="E5" s="371"/>
      <c r="G5" s="178" t="s">
        <v>82</v>
      </c>
      <c r="H5" s="106">
        <v>1</v>
      </c>
    </row>
    <row r="6" spans="2:8" ht="21.75" customHeight="1" thickTop="1" thickBot="1" x14ac:dyDescent="0.3">
      <c r="B6" s="108" t="s">
        <v>29</v>
      </c>
      <c r="C6" s="180" t="s">
        <v>47</v>
      </c>
      <c r="G6" s="179" t="s">
        <v>83</v>
      </c>
    </row>
    <row r="7" spans="2:8" ht="21.75" customHeight="1" thickTop="1" thickBot="1" x14ac:dyDescent="0.3">
      <c r="B7" s="108" t="s">
        <v>30</v>
      </c>
      <c r="C7" s="180" t="s">
        <v>48</v>
      </c>
      <c r="G7" s="178" t="s">
        <v>84</v>
      </c>
    </row>
    <row r="8" spans="2:8" ht="21.75" customHeight="1" thickTop="1" thickBot="1" x14ac:dyDescent="0.3">
      <c r="B8" s="108" t="s">
        <v>31</v>
      </c>
      <c r="C8" s="181" t="s">
        <v>40</v>
      </c>
      <c r="G8" s="179" t="s">
        <v>85</v>
      </c>
    </row>
    <row r="9" spans="2:8" ht="21.75" customHeight="1" thickTop="1" thickBot="1" x14ac:dyDescent="0.3">
      <c r="B9" s="108" t="s">
        <v>111</v>
      </c>
      <c r="C9" s="181" t="s">
        <v>39</v>
      </c>
      <c r="G9" s="178" t="s">
        <v>86</v>
      </c>
    </row>
    <row r="10" spans="2:8" ht="21.75" customHeight="1" thickTop="1" thickBot="1" x14ac:dyDescent="0.3">
      <c r="B10" s="108" t="s">
        <v>32</v>
      </c>
      <c r="C10" s="181" t="s">
        <v>38</v>
      </c>
      <c r="G10" s="179" t="s">
        <v>87</v>
      </c>
    </row>
    <row r="11" spans="2:8" ht="21.75" customHeight="1" thickTop="1" thickBot="1" x14ac:dyDescent="0.3">
      <c r="B11" s="108" t="s">
        <v>60</v>
      </c>
      <c r="C11" s="181" t="s">
        <v>121</v>
      </c>
    </row>
    <row r="12" spans="2:8" ht="19.5" thickTop="1" thickBot="1" x14ac:dyDescent="0.3">
      <c r="B12" s="108" t="s">
        <v>144</v>
      </c>
      <c r="C12" s="181" t="s">
        <v>59</v>
      </c>
    </row>
    <row r="13" spans="2:8" ht="15" thickTop="1" x14ac:dyDescent="0.25"/>
    <row r="15" spans="2:8" x14ac:dyDescent="0.25">
      <c r="E15" s="328" t="s">
        <v>35</v>
      </c>
    </row>
    <row r="16" spans="2:8" x14ac:dyDescent="0.25">
      <c r="E16" s="328"/>
    </row>
  </sheetData>
  <sheetProtection algorithmName="SHA-512" hashValue="AEcTE8g9/nFs94RoPVzMyuMVNfTI0O4B3VzkZ4N12xoUsKycaugzSYyVJ4lyVMMjfXMcJvNGy3C89jHT0vPQwg==" saltValue="+jj2CY4IGhf2k1/Mr+5rUQ==" spinCount="100000" sheet="1" objects="1" scenarios="1"/>
  <mergeCells count="6">
    <mergeCell ref="B2:C2"/>
    <mergeCell ref="E15:E16"/>
    <mergeCell ref="B3:C3"/>
    <mergeCell ref="B4:C4"/>
    <mergeCell ref="B5:C5"/>
    <mergeCell ref="E4:E5"/>
  </mergeCells>
  <hyperlinks>
    <hyperlink ref="C7" location="'Произволно количество,(g)|II.2|'!A1" display="Произволно количество (2.2)"/>
    <hyperlink ref="C8" location="'Ръчно въвеждане, (%)'!A1" display="Ръчно въвеждане (%)"/>
    <hyperlink ref="C10" location="'Съставки (анализ)'!A1" display="Съставки (анализ)"/>
    <hyperlink ref="C9" location="Себестойност!A1" display="Себестойност"/>
    <hyperlink ref="C6" location="'За 1 доза, (g) |I.2|'!A1" display="За 1 доза (1.2)"/>
    <hyperlink ref="E4" location="Пояснения!A1" display="&gt;&gt;&gt; i &lt;&lt;&lt;"/>
    <hyperlink ref="C11" location="'Тесто (изчисл.)'!B1" display="Тесто (изчисления)"/>
    <hyperlink ref="E15:E16" location="Меню!A1" display="Ç"/>
    <hyperlink ref="C12" location="'Записки +'!B1" display="Записки (допълнителни)"/>
  </hyperlinks>
  <pageMargins left="0.70866141732283472" right="0.70866141732283472" top="0.74803149606299213" bottom="0.74803149606299213" header="0.31496062992125984" footer="0.31496062992125984"/>
  <pageSetup paperSize="9" scale="8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9">
    <tabColor rgb="FF002060"/>
    <pageSetUpPr fitToPage="1"/>
  </sheetPr>
  <dimension ref="A1:X34"/>
  <sheetViews>
    <sheetView showGridLines="0" showRowColHeaders="0" showZeros="0" zoomScaleNormal="100" workbookViewId="0"/>
  </sheetViews>
  <sheetFormatPr defaultColWidth="9.140625" defaultRowHeight="14.25" x14ac:dyDescent="0.25"/>
  <cols>
    <col min="1" max="1" width="4" style="1" bestFit="1" customWidth="1"/>
    <col min="2" max="2" width="1.28515625" style="1" customWidth="1"/>
    <col min="3" max="3" width="3.42578125" style="7" bestFit="1" customWidth="1"/>
    <col min="4" max="4" width="14.7109375" style="1" customWidth="1"/>
    <col min="5" max="6" width="11.42578125" style="1" customWidth="1"/>
    <col min="7" max="7" width="1.42578125" style="1" customWidth="1"/>
    <col min="8" max="8" width="1.7109375" style="1" customWidth="1"/>
    <col min="9" max="9" width="3.42578125" style="1" bestFit="1" customWidth="1"/>
    <col min="10" max="10" width="14.7109375" style="1" customWidth="1"/>
    <col min="11" max="12" width="11.42578125" style="1" customWidth="1"/>
    <col min="13" max="13" width="1.42578125" style="1" customWidth="1"/>
    <col min="14" max="14" width="7.85546875" style="1" bestFit="1" customWidth="1"/>
    <col min="15" max="18" width="9.140625" style="1" customWidth="1"/>
    <col min="19" max="19" width="1.7109375" style="1" customWidth="1"/>
    <col min="20" max="23" width="9.140625" style="1"/>
    <col min="24" max="24" width="7.85546875" style="1" bestFit="1" customWidth="1"/>
    <col min="25" max="16384" width="9.140625" style="1"/>
  </cols>
  <sheetData>
    <row r="1" spans="1:23" ht="7.15" customHeight="1" x14ac:dyDescent="0.25">
      <c r="J1" s="7"/>
    </row>
    <row r="2" spans="1:23" ht="15.75" x14ac:dyDescent="0.25">
      <c r="C2" s="397" t="s">
        <v>110</v>
      </c>
      <c r="D2" s="397"/>
      <c r="E2" s="397"/>
      <c r="F2" s="397"/>
      <c r="G2" s="397"/>
      <c r="H2" s="397"/>
      <c r="I2" s="397"/>
      <c r="J2" s="397"/>
      <c r="K2" s="397"/>
      <c r="L2" s="397"/>
      <c r="M2" s="397"/>
    </row>
    <row r="3" spans="1:23" ht="15.75" x14ac:dyDescent="0.25">
      <c r="C3" s="458"/>
      <c r="D3" s="459"/>
      <c r="E3" s="459"/>
      <c r="F3" s="459"/>
      <c r="G3" s="459"/>
      <c r="H3" s="459"/>
      <c r="I3" s="459"/>
      <c r="J3" s="459"/>
      <c r="K3" s="459"/>
      <c r="L3" s="459"/>
      <c r="M3" s="460"/>
      <c r="N3" s="366" t="s">
        <v>36</v>
      </c>
      <c r="O3" s="329" t="s">
        <v>8</v>
      </c>
      <c r="P3" s="329"/>
      <c r="Q3" s="329"/>
      <c r="R3" s="329"/>
    </row>
    <row r="4" spans="1:23" s="20" customFormat="1" ht="7.15" customHeight="1" thickBot="1" x14ac:dyDescent="0.3">
      <c r="A4" s="1"/>
      <c r="N4" s="366"/>
      <c r="O4" s="329"/>
      <c r="P4" s="329"/>
      <c r="Q4" s="329"/>
      <c r="R4" s="329"/>
    </row>
    <row r="5" spans="1:23" ht="16.5" thickTop="1" x14ac:dyDescent="0.25">
      <c r="C5" s="453" t="s">
        <v>3</v>
      </c>
      <c r="D5" s="454"/>
      <c r="E5" s="454"/>
      <c r="F5" s="454"/>
      <c r="G5" s="455"/>
      <c r="I5" s="453" t="s">
        <v>3</v>
      </c>
      <c r="J5" s="454"/>
      <c r="K5" s="454"/>
      <c r="L5" s="454"/>
      <c r="M5" s="455"/>
      <c r="N5" s="370" t="s">
        <v>37</v>
      </c>
      <c r="O5" s="330" t="s">
        <v>10</v>
      </c>
      <c r="P5" s="331"/>
      <c r="Q5" s="331"/>
      <c r="R5" s="332"/>
    </row>
    <row r="6" spans="1:23" ht="15.75" x14ac:dyDescent="0.25">
      <c r="C6" s="461" t="s">
        <v>76</v>
      </c>
      <c r="D6" s="462"/>
      <c r="E6" s="462"/>
      <c r="F6" s="462"/>
      <c r="G6" s="463"/>
      <c r="I6" s="461" t="s">
        <v>73</v>
      </c>
      <c r="J6" s="462"/>
      <c r="K6" s="462"/>
      <c r="L6" s="462"/>
      <c r="M6" s="463"/>
      <c r="N6" s="370"/>
      <c r="O6" s="385" t="s">
        <v>9</v>
      </c>
      <c r="P6" s="386"/>
      <c r="Q6" s="386"/>
      <c r="R6" s="387"/>
    </row>
    <row r="7" spans="1:23" ht="15" thickBot="1" x14ac:dyDescent="0.3">
      <c r="C7" s="124"/>
      <c r="D7" s="2"/>
      <c r="E7" s="2"/>
      <c r="F7" s="2"/>
      <c r="G7" s="125"/>
      <c r="I7" s="155"/>
      <c r="J7" s="2"/>
      <c r="K7" s="2"/>
      <c r="L7" s="2"/>
      <c r="M7" s="125"/>
    </row>
    <row r="8" spans="1:23" ht="30.75" thickBot="1" x14ac:dyDescent="0.25">
      <c r="A8" s="452" t="s">
        <v>38</v>
      </c>
      <c r="C8" s="124"/>
      <c r="D8" s="456" t="s">
        <v>74</v>
      </c>
      <c r="E8" s="457"/>
      <c r="F8" s="39"/>
      <c r="G8" s="136"/>
      <c r="I8" s="124"/>
      <c r="J8" s="456" t="s">
        <v>74</v>
      </c>
      <c r="K8" s="457"/>
      <c r="L8" s="39"/>
      <c r="M8" s="136"/>
      <c r="N8" s="173"/>
      <c r="O8" s="369" t="s">
        <v>11</v>
      </c>
      <c r="P8" s="369"/>
      <c r="Q8" s="369"/>
      <c r="R8" s="369"/>
      <c r="T8" s="342" t="s">
        <v>57</v>
      </c>
      <c r="U8" s="342"/>
      <c r="V8" s="342"/>
      <c r="W8" s="342"/>
    </row>
    <row r="9" spans="1:23" ht="15" thickBot="1" x14ac:dyDescent="0.3">
      <c r="A9" s="452"/>
      <c r="C9" s="124"/>
      <c r="D9" s="396"/>
      <c r="E9" s="396"/>
      <c r="F9" s="396"/>
      <c r="G9" s="138"/>
      <c r="I9" s="124"/>
      <c r="J9" s="391"/>
      <c r="K9" s="391"/>
      <c r="L9" s="391"/>
      <c r="M9" s="138"/>
      <c r="O9" s="333"/>
      <c r="P9" s="334"/>
      <c r="Q9" s="334"/>
      <c r="R9" s="335"/>
      <c r="T9" s="333"/>
      <c r="U9" s="334"/>
      <c r="V9" s="334"/>
      <c r="W9" s="335"/>
    </row>
    <row r="10" spans="1:23" ht="15.75" thickBot="1" x14ac:dyDescent="0.3">
      <c r="A10" s="452"/>
      <c r="C10" s="124"/>
      <c r="D10" s="168" t="s">
        <v>3</v>
      </c>
      <c r="E10" s="169" t="s">
        <v>6</v>
      </c>
      <c r="F10" s="170" t="s">
        <v>7</v>
      </c>
      <c r="G10" s="139"/>
      <c r="I10" s="124"/>
      <c r="J10" s="168" t="s">
        <v>3</v>
      </c>
      <c r="K10" s="171" t="s">
        <v>7</v>
      </c>
      <c r="L10" s="172" t="s">
        <v>6</v>
      </c>
      <c r="M10" s="139"/>
      <c r="O10" s="336"/>
      <c r="P10" s="337"/>
      <c r="Q10" s="337"/>
      <c r="R10" s="338"/>
      <c r="T10" s="336"/>
      <c r="U10" s="337"/>
      <c r="V10" s="337"/>
      <c r="W10" s="338"/>
    </row>
    <row r="11" spans="1:23" x14ac:dyDescent="0.25">
      <c r="A11" s="452"/>
      <c r="C11" s="124">
        <f>C10+1</f>
        <v>1</v>
      </c>
      <c r="D11" s="56" t="s">
        <v>15</v>
      </c>
      <c r="E11" s="57"/>
      <c r="F11" s="58">
        <f>IFERROR(E11*$F$8,"")</f>
        <v>0</v>
      </c>
      <c r="G11" s="146"/>
      <c r="I11" s="124">
        <f>I10+1</f>
        <v>1</v>
      </c>
      <c r="J11" s="56" t="s">
        <v>15</v>
      </c>
      <c r="K11" s="59"/>
      <c r="L11" s="60" t="str">
        <f>IFERROR(K11/$L$8,"")</f>
        <v/>
      </c>
      <c r="M11" s="146"/>
      <c r="O11" s="336"/>
      <c r="P11" s="337"/>
      <c r="Q11" s="337"/>
      <c r="R11" s="338"/>
      <c r="T11" s="336"/>
      <c r="U11" s="337"/>
      <c r="V11" s="337"/>
      <c r="W11" s="338"/>
    </row>
    <row r="12" spans="1:23" x14ac:dyDescent="0.25">
      <c r="A12" s="452"/>
      <c r="C12" s="124">
        <f t="shared" ref="C12:C24" si="0">C11+1</f>
        <v>2</v>
      </c>
      <c r="D12" s="42"/>
      <c r="E12" s="40"/>
      <c r="F12" s="48">
        <f t="shared" ref="F12:F24" si="1">IFERROR(E12*$F$8,"")</f>
        <v>0</v>
      </c>
      <c r="G12" s="146"/>
      <c r="I12" s="124">
        <f t="shared" ref="I12:I24" si="2">I11+1</f>
        <v>2</v>
      </c>
      <c r="J12" s="114"/>
      <c r="K12" s="46"/>
      <c r="L12" s="77" t="str">
        <f t="shared" ref="L12:L24" si="3">IFERROR(K12/$L$8,"")</f>
        <v/>
      </c>
      <c r="M12" s="146"/>
      <c r="O12" s="336"/>
      <c r="P12" s="337"/>
      <c r="Q12" s="337"/>
      <c r="R12" s="338"/>
      <c r="T12" s="336"/>
      <c r="U12" s="337"/>
      <c r="V12" s="337"/>
      <c r="W12" s="338"/>
    </row>
    <row r="13" spans="1:23" x14ac:dyDescent="0.25">
      <c r="A13" s="452"/>
      <c r="C13" s="124">
        <f t="shared" si="0"/>
        <v>3</v>
      </c>
      <c r="D13" s="42"/>
      <c r="E13" s="40"/>
      <c r="F13" s="48">
        <f t="shared" si="1"/>
        <v>0</v>
      </c>
      <c r="G13" s="146"/>
      <c r="I13" s="124">
        <f t="shared" si="2"/>
        <v>3</v>
      </c>
      <c r="J13" s="114"/>
      <c r="K13" s="46"/>
      <c r="L13" s="77" t="str">
        <f t="shared" si="3"/>
        <v/>
      </c>
      <c r="M13" s="146"/>
      <c r="O13" s="336"/>
      <c r="P13" s="337"/>
      <c r="Q13" s="337"/>
      <c r="R13" s="338"/>
      <c r="T13" s="336"/>
      <c r="U13" s="337"/>
      <c r="V13" s="337"/>
      <c r="W13" s="338"/>
    </row>
    <row r="14" spans="1:23" x14ac:dyDescent="0.25">
      <c r="A14" s="452"/>
      <c r="C14" s="124">
        <f t="shared" si="0"/>
        <v>4</v>
      </c>
      <c r="D14" s="42"/>
      <c r="E14" s="40"/>
      <c r="F14" s="48">
        <f t="shared" si="1"/>
        <v>0</v>
      </c>
      <c r="G14" s="146"/>
      <c r="I14" s="124">
        <f t="shared" si="2"/>
        <v>4</v>
      </c>
      <c r="J14" s="114"/>
      <c r="K14" s="46"/>
      <c r="L14" s="77" t="str">
        <f t="shared" si="3"/>
        <v/>
      </c>
      <c r="M14" s="146"/>
      <c r="O14" s="336"/>
      <c r="P14" s="337"/>
      <c r="Q14" s="337"/>
      <c r="R14" s="338"/>
      <c r="T14" s="336"/>
      <c r="U14" s="337"/>
      <c r="V14" s="337"/>
      <c r="W14" s="338"/>
    </row>
    <row r="15" spans="1:23" x14ac:dyDescent="0.25">
      <c r="A15" s="452"/>
      <c r="C15" s="124">
        <f t="shared" si="0"/>
        <v>5</v>
      </c>
      <c r="D15" s="42"/>
      <c r="E15" s="40"/>
      <c r="F15" s="48">
        <f t="shared" si="1"/>
        <v>0</v>
      </c>
      <c r="G15" s="146"/>
      <c r="I15" s="124">
        <f t="shared" si="2"/>
        <v>5</v>
      </c>
      <c r="J15" s="114"/>
      <c r="K15" s="46"/>
      <c r="L15" s="77" t="str">
        <f t="shared" si="3"/>
        <v/>
      </c>
      <c r="M15" s="146"/>
      <c r="O15" s="336"/>
      <c r="P15" s="337"/>
      <c r="Q15" s="337"/>
      <c r="R15" s="338"/>
      <c r="T15" s="336"/>
      <c r="U15" s="337"/>
      <c r="V15" s="337"/>
      <c r="W15" s="338"/>
    </row>
    <row r="16" spans="1:23" x14ac:dyDescent="0.25">
      <c r="A16" s="452"/>
      <c r="C16" s="124">
        <f t="shared" si="0"/>
        <v>6</v>
      </c>
      <c r="D16" s="42"/>
      <c r="E16" s="40"/>
      <c r="F16" s="48">
        <f t="shared" si="1"/>
        <v>0</v>
      </c>
      <c r="G16" s="146"/>
      <c r="I16" s="124">
        <f t="shared" si="2"/>
        <v>6</v>
      </c>
      <c r="J16" s="114"/>
      <c r="K16" s="46"/>
      <c r="L16" s="77" t="str">
        <f t="shared" si="3"/>
        <v/>
      </c>
      <c r="M16" s="146"/>
      <c r="O16" s="336"/>
      <c r="P16" s="337"/>
      <c r="Q16" s="337"/>
      <c r="R16" s="338"/>
      <c r="T16" s="336"/>
      <c r="U16" s="337"/>
      <c r="V16" s="337"/>
      <c r="W16" s="338"/>
    </row>
    <row r="17" spans="1:23" x14ac:dyDescent="0.25">
      <c r="A17" s="452"/>
      <c r="C17" s="124">
        <f t="shared" si="0"/>
        <v>7</v>
      </c>
      <c r="D17" s="42"/>
      <c r="E17" s="40"/>
      <c r="F17" s="48">
        <f t="shared" si="1"/>
        <v>0</v>
      </c>
      <c r="G17" s="146"/>
      <c r="I17" s="124">
        <f t="shared" si="2"/>
        <v>7</v>
      </c>
      <c r="J17" s="114"/>
      <c r="K17" s="46"/>
      <c r="L17" s="77" t="str">
        <f t="shared" si="3"/>
        <v/>
      </c>
      <c r="M17" s="146"/>
      <c r="O17" s="336"/>
      <c r="P17" s="337"/>
      <c r="Q17" s="337"/>
      <c r="R17" s="338"/>
      <c r="T17" s="336"/>
      <c r="U17" s="337"/>
      <c r="V17" s="337"/>
      <c r="W17" s="338"/>
    </row>
    <row r="18" spans="1:23" x14ac:dyDescent="0.25">
      <c r="A18" s="452"/>
      <c r="C18" s="124">
        <f t="shared" si="0"/>
        <v>8</v>
      </c>
      <c r="D18" s="42"/>
      <c r="E18" s="40"/>
      <c r="F18" s="48">
        <f t="shared" si="1"/>
        <v>0</v>
      </c>
      <c r="G18" s="146"/>
      <c r="I18" s="124">
        <f t="shared" si="2"/>
        <v>8</v>
      </c>
      <c r="J18" s="114"/>
      <c r="K18" s="46"/>
      <c r="L18" s="77" t="str">
        <f t="shared" si="3"/>
        <v/>
      </c>
      <c r="M18" s="146"/>
      <c r="O18" s="336"/>
      <c r="P18" s="337"/>
      <c r="Q18" s="337"/>
      <c r="R18" s="338"/>
      <c r="T18" s="336"/>
      <c r="U18" s="337"/>
      <c r="V18" s="337"/>
      <c r="W18" s="338"/>
    </row>
    <row r="19" spans="1:23" x14ac:dyDescent="0.25">
      <c r="A19" s="452"/>
      <c r="C19" s="124">
        <f t="shared" si="0"/>
        <v>9</v>
      </c>
      <c r="D19" s="42"/>
      <c r="E19" s="40"/>
      <c r="F19" s="48">
        <f t="shared" si="1"/>
        <v>0</v>
      </c>
      <c r="G19" s="146"/>
      <c r="I19" s="124">
        <f t="shared" si="2"/>
        <v>9</v>
      </c>
      <c r="J19" s="114"/>
      <c r="K19" s="46"/>
      <c r="L19" s="77" t="str">
        <f t="shared" si="3"/>
        <v/>
      </c>
      <c r="M19" s="146"/>
      <c r="O19" s="336"/>
      <c r="P19" s="337"/>
      <c r="Q19" s="337"/>
      <c r="R19" s="338"/>
      <c r="T19" s="336"/>
      <c r="U19" s="337"/>
      <c r="V19" s="337"/>
      <c r="W19" s="338"/>
    </row>
    <row r="20" spans="1:23" x14ac:dyDescent="0.25">
      <c r="A20" s="452"/>
      <c r="C20" s="124">
        <f t="shared" si="0"/>
        <v>10</v>
      </c>
      <c r="D20" s="42"/>
      <c r="E20" s="40"/>
      <c r="F20" s="48">
        <f t="shared" si="1"/>
        <v>0</v>
      </c>
      <c r="G20" s="146"/>
      <c r="I20" s="124">
        <f t="shared" si="2"/>
        <v>10</v>
      </c>
      <c r="J20" s="114"/>
      <c r="K20" s="46"/>
      <c r="L20" s="77" t="str">
        <f t="shared" si="3"/>
        <v/>
      </c>
      <c r="M20" s="146"/>
      <c r="O20" s="336"/>
      <c r="P20" s="337"/>
      <c r="Q20" s="337"/>
      <c r="R20" s="338"/>
      <c r="T20" s="336"/>
      <c r="U20" s="337"/>
      <c r="V20" s="337"/>
      <c r="W20" s="338"/>
    </row>
    <row r="21" spans="1:23" x14ac:dyDescent="0.25">
      <c r="A21" s="452"/>
      <c r="C21" s="124">
        <f t="shared" si="0"/>
        <v>11</v>
      </c>
      <c r="D21" s="42"/>
      <c r="E21" s="40"/>
      <c r="F21" s="48">
        <f t="shared" si="1"/>
        <v>0</v>
      </c>
      <c r="G21" s="146"/>
      <c r="I21" s="124">
        <f t="shared" si="2"/>
        <v>11</v>
      </c>
      <c r="J21" s="114"/>
      <c r="K21" s="46"/>
      <c r="L21" s="77" t="str">
        <f t="shared" si="3"/>
        <v/>
      </c>
      <c r="M21" s="146"/>
      <c r="O21" s="336"/>
      <c r="P21" s="337"/>
      <c r="Q21" s="337"/>
      <c r="R21" s="338"/>
      <c r="T21" s="336"/>
      <c r="U21" s="337"/>
      <c r="V21" s="337"/>
      <c r="W21" s="338"/>
    </row>
    <row r="22" spans="1:23" x14ac:dyDescent="0.25">
      <c r="A22" s="452"/>
      <c r="C22" s="124">
        <f t="shared" si="0"/>
        <v>12</v>
      </c>
      <c r="D22" s="42"/>
      <c r="E22" s="40"/>
      <c r="F22" s="48">
        <f t="shared" si="1"/>
        <v>0</v>
      </c>
      <c r="G22" s="146"/>
      <c r="I22" s="124">
        <f t="shared" si="2"/>
        <v>12</v>
      </c>
      <c r="J22" s="114"/>
      <c r="K22" s="46"/>
      <c r="L22" s="77" t="str">
        <f t="shared" si="3"/>
        <v/>
      </c>
      <c r="M22" s="146"/>
      <c r="O22" s="336"/>
      <c r="P22" s="337"/>
      <c r="Q22" s="337"/>
      <c r="R22" s="338"/>
      <c r="T22" s="336"/>
      <c r="U22" s="337"/>
      <c r="V22" s="337"/>
      <c r="W22" s="338"/>
    </row>
    <row r="23" spans="1:23" x14ac:dyDescent="0.25">
      <c r="A23" s="452"/>
      <c r="C23" s="124">
        <f t="shared" si="0"/>
        <v>13</v>
      </c>
      <c r="D23" s="42"/>
      <c r="E23" s="40"/>
      <c r="F23" s="48">
        <f t="shared" si="1"/>
        <v>0</v>
      </c>
      <c r="G23" s="146"/>
      <c r="I23" s="124">
        <f t="shared" si="2"/>
        <v>13</v>
      </c>
      <c r="J23" s="114"/>
      <c r="K23" s="46"/>
      <c r="L23" s="77" t="str">
        <f t="shared" si="3"/>
        <v/>
      </c>
      <c r="M23" s="146"/>
      <c r="O23" s="336"/>
      <c r="P23" s="337"/>
      <c r="Q23" s="337"/>
      <c r="R23" s="338"/>
      <c r="T23" s="336"/>
      <c r="U23" s="337"/>
      <c r="V23" s="337"/>
      <c r="W23" s="338"/>
    </row>
    <row r="24" spans="1:23" ht="15" thickBot="1" x14ac:dyDescent="0.3">
      <c r="A24" s="452"/>
      <c r="C24" s="124">
        <f t="shared" si="0"/>
        <v>14</v>
      </c>
      <c r="D24" s="43"/>
      <c r="E24" s="41"/>
      <c r="F24" s="49">
        <f t="shared" si="1"/>
        <v>0</v>
      </c>
      <c r="G24" s="146"/>
      <c r="I24" s="124">
        <f t="shared" si="2"/>
        <v>14</v>
      </c>
      <c r="J24" s="115"/>
      <c r="K24" s="47"/>
      <c r="L24" s="77" t="str">
        <f t="shared" si="3"/>
        <v/>
      </c>
      <c r="M24" s="146"/>
      <c r="O24" s="336"/>
      <c r="P24" s="337"/>
      <c r="Q24" s="337"/>
      <c r="R24" s="338"/>
      <c r="T24" s="336"/>
      <c r="U24" s="337"/>
      <c r="V24" s="337"/>
      <c r="W24" s="338"/>
    </row>
    <row r="25" spans="1:23" ht="15" thickBot="1" x14ac:dyDescent="0.3">
      <c r="A25" s="452"/>
      <c r="C25" s="129"/>
      <c r="D25" s="141" t="s">
        <v>1</v>
      </c>
      <c r="E25" s="147">
        <f>SUM(E11:E24)</f>
        <v>0</v>
      </c>
      <c r="F25" s="131">
        <f>SUM(F11:F24)</f>
        <v>0</v>
      </c>
      <c r="G25" s="148"/>
      <c r="I25" s="129"/>
      <c r="J25" s="141" t="s">
        <v>1</v>
      </c>
      <c r="K25" s="131">
        <f>SUM(K11:K24)</f>
        <v>0</v>
      </c>
      <c r="L25" s="147">
        <f>SUM(L11:L24)</f>
        <v>0</v>
      </c>
      <c r="M25" s="148"/>
      <c r="O25" s="336"/>
      <c r="P25" s="337"/>
      <c r="Q25" s="337"/>
      <c r="R25" s="338"/>
      <c r="T25" s="336"/>
      <c r="U25" s="337"/>
      <c r="V25" s="337"/>
      <c r="W25" s="338"/>
    </row>
    <row r="26" spans="1:23" ht="15" thickTop="1" x14ac:dyDescent="0.25">
      <c r="O26" s="336"/>
      <c r="P26" s="337"/>
      <c r="Q26" s="337"/>
      <c r="R26" s="338"/>
      <c r="T26" s="336"/>
      <c r="U26" s="337"/>
      <c r="V26" s="337"/>
      <c r="W26" s="338"/>
    </row>
    <row r="27" spans="1:23" x14ac:dyDescent="0.25">
      <c r="O27" s="336"/>
      <c r="P27" s="337"/>
      <c r="Q27" s="337"/>
      <c r="R27" s="338"/>
      <c r="T27" s="336"/>
      <c r="U27" s="337"/>
      <c r="V27" s="337"/>
      <c r="W27" s="338"/>
    </row>
    <row r="28" spans="1:23" x14ac:dyDescent="0.25">
      <c r="O28" s="336"/>
      <c r="P28" s="337"/>
      <c r="Q28" s="337"/>
      <c r="R28" s="338"/>
      <c r="T28" s="336"/>
      <c r="U28" s="337"/>
      <c r="V28" s="337"/>
      <c r="W28" s="338"/>
    </row>
    <row r="29" spans="1:23" x14ac:dyDescent="0.25">
      <c r="O29" s="336"/>
      <c r="P29" s="337"/>
      <c r="Q29" s="337"/>
      <c r="R29" s="338"/>
      <c r="T29" s="336"/>
      <c r="U29" s="337"/>
      <c r="V29" s="337"/>
      <c r="W29" s="338"/>
    </row>
    <row r="30" spans="1:23" x14ac:dyDescent="0.25">
      <c r="O30" s="336"/>
      <c r="P30" s="337"/>
      <c r="Q30" s="337"/>
      <c r="R30" s="338"/>
      <c r="T30" s="336"/>
      <c r="U30" s="337"/>
      <c r="V30" s="337"/>
      <c r="W30" s="338"/>
    </row>
    <row r="31" spans="1:23" x14ac:dyDescent="0.25">
      <c r="O31" s="336"/>
      <c r="P31" s="337"/>
      <c r="Q31" s="337"/>
      <c r="R31" s="338"/>
      <c r="T31" s="336"/>
      <c r="U31" s="337"/>
      <c r="V31" s="337"/>
      <c r="W31" s="338"/>
    </row>
    <row r="32" spans="1:23" x14ac:dyDescent="0.25">
      <c r="O32" s="336"/>
      <c r="P32" s="337"/>
      <c r="Q32" s="337"/>
      <c r="R32" s="338"/>
      <c r="T32" s="336"/>
      <c r="U32" s="337"/>
      <c r="V32" s="337"/>
      <c r="W32" s="338"/>
    </row>
    <row r="33" spans="14:24" x14ac:dyDescent="0.25">
      <c r="N33" s="328" t="s">
        <v>35</v>
      </c>
      <c r="O33" s="336"/>
      <c r="P33" s="337"/>
      <c r="Q33" s="337"/>
      <c r="R33" s="338"/>
      <c r="T33" s="336"/>
      <c r="U33" s="337"/>
      <c r="V33" s="337"/>
      <c r="W33" s="338"/>
      <c r="X33" s="328" t="s">
        <v>35</v>
      </c>
    </row>
    <row r="34" spans="14:24" ht="15" thickBot="1" x14ac:dyDescent="0.3">
      <c r="N34" s="328"/>
      <c r="O34" s="339"/>
      <c r="P34" s="340"/>
      <c r="Q34" s="340"/>
      <c r="R34" s="341"/>
      <c r="T34" s="339"/>
      <c r="U34" s="340"/>
      <c r="V34" s="340"/>
      <c r="W34" s="341"/>
      <c r="X34" s="328"/>
    </row>
  </sheetData>
  <sheetProtection algorithmName="SHA-512" hashValue="HSRbzOLZ+utaYzfHNqoxDSrDEjm8ETxmvNmS36Qzb1FZ0UGof5/hfOc63BgrHo3d18RMeBtmNOkXFRVBk+goGA==" saltValue="yIA8VrlvvyUYlUrCYQpTdQ==" spinCount="100000" sheet="1" objects="1" scenarios="1"/>
  <mergeCells count="22">
    <mergeCell ref="N33:N34"/>
    <mergeCell ref="N3:N4"/>
    <mergeCell ref="O3:R4"/>
    <mergeCell ref="O6:R6"/>
    <mergeCell ref="O5:R5"/>
    <mergeCell ref="N5:N6"/>
    <mergeCell ref="X33:X34"/>
    <mergeCell ref="C2:M2"/>
    <mergeCell ref="A8:A25"/>
    <mergeCell ref="C5:G5"/>
    <mergeCell ref="D8:E8"/>
    <mergeCell ref="D9:F9"/>
    <mergeCell ref="C3:M3"/>
    <mergeCell ref="I5:M5"/>
    <mergeCell ref="J8:K8"/>
    <mergeCell ref="J9:L9"/>
    <mergeCell ref="C6:G6"/>
    <mergeCell ref="I6:M6"/>
    <mergeCell ref="O8:R8"/>
    <mergeCell ref="O9:R34"/>
    <mergeCell ref="T8:W8"/>
    <mergeCell ref="T9:W34"/>
  </mergeCells>
  <hyperlinks>
    <hyperlink ref="N3:N4" location="Меню!A1" display="M"/>
    <hyperlink ref="N5:N6" location="Пояснения!A1" display="i"/>
    <hyperlink ref="X33:X34" location="'Съставки (анализ)'!A1" display="Ç"/>
    <hyperlink ref="N33:N34" location="'Съставки (анализ)'!A1" display="Ç"/>
  </hyperlinks>
  <printOptions horizontalCentered="1"/>
  <pageMargins left="0" right="0" top="0" bottom="0" header="0" footer="0"/>
  <pageSetup paperSize="9" scale="87" orientation="landscape" horizontalDpi="0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4" tint="-0.249977111117893"/>
    <pageSetUpPr fitToPage="1"/>
  </sheetPr>
  <dimension ref="A1:AH28"/>
  <sheetViews>
    <sheetView showGridLines="0" showRowColHeaders="0" showZeros="0" zoomScaleNormal="100" workbookViewId="0"/>
  </sheetViews>
  <sheetFormatPr defaultColWidth="9.7109375" defaultRowHeight="14.25" x14ac:dyDescent="0.2"/>
  <cols>
    <col min="1" max="1" width="0.85546875" style="283" customWidth="1"/>
    <col min="2" max="2" width="2.28515625" style="283" bestFit="1" customWidth="1"/>
    <col min="3" max="3" width="10.28515625" style="283" bestFit="1" customWidth="1"/>
    <col min="4" max="4" width="2.7109375" style="283" customWidth="1"/>
    <col min="5" max="5" width="7.28515625" style="283" bestFit="1" customWidth="1"/>
    <col min="6" max="6" width="2.7109375" style="283" customWidth="1"/>
    <col min="7" max="7" width="10.42578125" style="283" bestFit="1" customWidth="1"/>
    <col min="8" max="8" width="1.28515625" style="283" customWidth="1"/>
    <col min="9" max="9" width="1.42578125" style="283" customWidth="1"/>
    <col min="10" max="10" width="2.28515625" style="283" bestFit="1" customWidth="1"/>
    <col min="11" max="11" width="10.140625" style="283" bestFit="1" customWidth="1"/>
    <col min="12" max="12" width="2.7109375" style="283" customWidth="1"/>
    <col min="13" max="13" width="10.140625" style="283" bestFit="1" customWidth="1"/>
    <col min="14" max="14" width="2.7109375" style="283" customWidth="1"/>
    <col min="15" max="15" width="9.7109375" style="283" bestFit="1" customWidth="1"/>
    <col min="16" max="16" width="1.28515625" style="283" customWidth="1"/>
    <col min="17" max="17" width="1.42578125" style="283" customWidth="1"/>
    <col min="18" max="18" width="2.28515625" style="283" bestFit="1" customWidth="1"/>
    <col min="19" max="19" width="10" style="283" customWidth="1"/>
    <col min="20" max="20" width="2.7109375" style="283" customWidth="1"/>
    <col min="21" max="21" width="7.28515625" style="283" bestFit="1" customWidth="1"/>
    <col min="22" max="22" width="2.7109375" style="283" customWidth="1"/>
    <col min="23" max="23" width="10" style="283" customWidth="1"/>
    <col min="24" max="24" width="2.7109375" style="283" customWidth="1"/>
    <col min="25" max="25" width="7.28515625" style="283" bestFit="1" customWidth="1"/>
    <col min="26" max="26" width="2.7109375" style="283" customWidth="1"/>
    <col min="27" max="27" width="10" style="283" customWidth="1"/>
    <col min="28" max="28" width="1.28515625" style="283" customWidth="1"/>
    <col min="29" max="29" width="1.42578125" style="283" customWidth="1"/>
    <col min="30" max="30" width="2" style="283" bestFit="1" customWidth="1"/>
    <col min="31" max="31" width="2.28515625" style="284" bestFit="1" customWidth="1"/>
    <col min="32" max="32" width="11.42578125" style="283" bestFit="1" customWidth="1"/>
    <col min="33" max="33" width="2.28515625" style="283" customWidth="1"/>
    <col min="34" max="34" width="8" style="283" bestFit="1" customWidth="1"/>
    <col min="35" max="16384" width="9.7109375" style="283"/>
  </cols>
  <sheetData>
    <row r="1" spans="1:33" ht="7.15" customHeight="1" x14ac:dyDescent="0.2">
      <c r="A1" s="282"/>
    </row>
    <row r="2" spans="1:33" ht="27.75" thickBot="1" x14ac:dyDescent="0.25">
      <c r="C2" s="326" t="s">
        <v>36</v>
      </c>
      <c r="D2" s="324"/>
      <c r="E2" s="324"/>
      <c r="G2" s="327" t="s">
        <v>37</v>
      </c>
      <c r="H2" s="325"/>
      <c r="I2" s="325"/>
      <c r="K2" s="285"/>
      <c r="L2" s="285"/>
      <c r="M2" s="465" t="s">
        <v>121</v>
      </c>
      <c r="N2" s="465"/>
      <c r="O2" s="465"/>
      <c r="P2" s="465"/>
      <c r="Q2" s="465"/>
      <c r="R2" s="465"/>
      <c r="S2" s="465"/>
      <c r="T2" s="465"/>
      <c r="U2" s="465"/>
      <c r="V2" s="465"/>
    </row>
    <row r="3" spans="1:33" ht="26.25" thickTop="1" x14ac:dyDescent="0.2">
      <c r="A3" s="286"/>
      <c r="B3" s="287"/>
      <c r="C3" s="288" t="s">
        <v>122</v>
      </c>
      <c r="D3" s="289"/>
      <c r="E3" s="290" t="s">
        <v>123</v>
      </c>
      <c r="F3" s="289"/>
      <c r="G3" s="291" t="s">
        <v>124</v>
      </c>
      <c r="H3" s="292"/>
      <c r="I3" s="286"/>
      <c r="J3" s="293"/>
      <c r="K3" s="288" t="s">
        <v>125</v>
      </c>
      <c r="L3" s="289"/>
      <c r="M3" s="288" t="s">
        <v>126</v>
      </c>
      <c r="N3" s="289"/>
      <c r="O3" s="291" t="s">
        <v>124</v>
      </c>
      <c r="P3" s="292"/>
      <c r="Q3" s="286"/>
      <c r="R3" s="293"/>
      <c r="S3" s="288" t="s">
        <v>122</v>
      </c>
      <c r="T3" s="289"/>
      <c r="U3" s="290" t="s">
        <v>123</v>
      </c>
      <c r="V3" s="289"/>
      <c r="W3" s="291" t="s">
        <v>127</v>
      </c>
      <c r="X3" s="289"/>
      <c r="Y3" s="290" t="s">
        <v>123</v>
      </c>
      <c r="Z3" s="289"/>
      <c r="AA3" s="291" t="s">
        <v>128</v>
      </c>
      <c r="AB3" s="292"/>
      <c r="AC3" s="286"/>
      <c r="AD3" s="293"/>
      <c r="AE3" s="294"/>
      <c r="AF3" s="288" t="s">
        <v>122</v>
      </c>
      <c r="AG3" s="292"/>
    </row>
    <row r="4" spans="1:33" ht="12.75" x14ac:dyDescent="0.25">
      <c r="A4" s="286"/>
      <c r="B4" s="295">
        <v>1</v>
      </c>
      <c r="C4" s="296">
        <v>620</v>
      </c>
      <c r="D4" s="297" t="s">
        <v>129</v>
      </c>
      <c r="E4" s="298">
        <v>8</v>
      </c>
      <c r="F4" s="297" t="s">
        <v>56</v>
      </c>
      <c r="G4" s="299">
        <f>ROUNDDOWN(C4*E4,0)</f>
        <v>4960</v>
      </c>
      <c r="H4" s="300"/>
      <c r="I4" s="286"/>
      <c r="J4" s="295">
        <v>1</v>
      </c>
      <c r="K4" s="296">
        <v>5000</v>
      </c>
      <c r="L4" s="301" t="s">
        <v>2</v>
      </c>
      <c r="M4" s="298">
        <v>1500</v>
      </c>
      <c r="N4" s="297" t="s">
        <v>56</v>
      </c>
      <c r="O4" s="299">
        <f>ROUNDDOWN(K4-M4,0)</f>
        <v>3500</v>
      </c>
      <c r="P4" s="300"/>
      <c r="Q4" s="286"/>
      <c r="R4" s="295">
        <v>1</v>
      </c>
      <c r="S4" s="296">
        <v>2550</v>
      </c>
      <c r="T4" s="302" t="s">
        <v>55</v>
      </c>
      <c r="U4" s="298">
        <v>3</v>
      </c>
      <c r="V4" s="297" t="s">
        <v>56</v>
      </c>
      <c r="W4" s="299">
        <f>IFERROR(ROUNDDOWN(S4/U4,0),"")</f>
        <v>850</v>
      </c>
      <c r="X4" s="302" t="s">
        <v>55</v>
      </c>
      <c r="Y4" s="298">
        <v>2</v>
      </c>
      <c r="Z4" s="297" t="s">
        <v>56</v>
      </c>
      <c r="AA4" s="299">
        <f>IFERROR(ROUNDDOWN(W4/Y4,0),"")</f>
        <v>425</v>
      </c>
      <c r="AB4" s="300"/>
      <c r="AC4" s="286"/>
      <c r="AD4" s="466" t="s">
        <v>130</v>
      </c>
      <c r="AE4" s="303">
        <v>1</v>
      </c>
      <c r="AF4" s="296">
        <v>1500</v>
      </c>
      <c r="AG4" s="300"/>
    </row>
    <row r="5" spans="1:33" ht="12.75" x14ac:dyDescent="0.25">
      <c r="A5" s="286"/>
      <c r="B5" s="295">
        <v>2</v>
      </c>
      <c r="C5" s="296"/>
      <c r="D5" s="297" t="s">
        <v>129</v>
      </c>
      <c r="E5" s="298"/>
      <c r="F5" s="297" t="s">
        <v>56</v>
      </c>
      <c r="G5" s="299">
        <f t="shared" ref="G5:G11" si="0">ROUNDDOWN(C5*E5,0)</f>
        <v>0</v>
      </c>
      <c r="H5" s="300"/>
      <c r="I5" s="286"/>
      <c r="J5" s="295">
        <v>2</v>
      </c>
      <c r="K5" s="296"/>
      <c r="L5" s="301" t="s">
        <v>2</v>
      </c>
      <c r="M5" s="298"/>
      <c r="N5" s="297" t="s">
        <v>56</v>
      </c>
      <c r="O5" s="299">
        <f t="shared" ref="O5:O11" si="1">ROUNDDOWN(K5-M5,0)</f>
        <v>0</v>
      </c>
      <c r="P5" s="300"/>
      <c r="Q5" s="286"/>
      <c r="R5" s="295">
        <v>2</v>
      </c>
      <c r="S5" s="296"/>
      <c r="T5" s="302" t="s">
        <v>55</v>
      </c>
      <c r="U5" s="298"/>
      <c r="V5" s="297" t="s">
        <v>56</v>
      </c>
      <c r="W5" s="299" t="str">
        <f t="shared" ref="W5:W11" si="2">IFERROR(ROUNDDOWN(S5/U5,0),"")</f>
        <v/>
      </c>
      <c r="X5" s="302" t="s">
        <v>55</v>
      </c>
      <c r="Y5" s="298"/>
      <c r="Z5" s="297" t="s">
        <v>56</v>
      </c>
      <c r="AA5" s="299" t="str">
        <f t="shared" ref="AA5:AA11" si="3">IFERROR(ROUNDDOWN(W5/Y5,0),"")</f>
        <v/>
      </c>
      <c r="AB5" s="300"/>
      <c r="AC5" s="286"/>
      <c r="AD5" s="467"/>
      <c r="AE5" s="303">
        <v>2</v>
      </c>
      <c r="AF5" s="296">
        <v>3500</v>
      </c>
      <c r="AG5" s="300"/>
    </row>
    <row r="6" spans="1:33" ht="12.75" x14ac:dyDescent="0.25">
      <c r="A6" s="286"/>
      <c r="B6" s="295">
        <v>3</v>
      </c>
      <c r="C6" s="296"/>
      <c r="D6" s="297" t="s">
        <v>129</v>
      </c>
      <c r="E6" s="298"/>
      <c r="F6" s="297" t="s">
        <v>56</v>
      </c>
      <c r="G6" s="299">
        <f t="shared" si="0"/>
        <v>0</v>
      </c>
      <c r="H6" s="300"/>
      <c r="I6" s="286"/>
      <c r="J6" s="295">
        <v>3</v>
      </c>
      <c r="K6" s="296"/>
      <c r="L6" s="301" t="s">
        <v>2</v>
      </c>
      <c r="M6" s="298"/>
      <c r="N6" s="297" t="s">
        <v>56</v>
      </c>
      <c r="O6" s="299">
        <f t="shared" si="1"/>
        <v>0</v>
      </c>
      <c r="P6" s="300"/>
      <c r="Q6" s="286"/>
      <c r="R6" s="295">
        <v>3</v>
      </c>
      <c r="S6" s="296"/>
      <c r="T6" s="302" t="s">
        <v>55</v>
      </c>
      <c r="U6" s="298"/>
      <c r="V6" s="297" t="s">
        <v>56</v>
      </c>
      <c r="W6" s="299" t="str">
        <f t="shared" si="2"/>
        <v/>
      </c>
      <c r="X6" s="302" t="s">
        <v>55</v>
      </c>
      <c r="Y6" s="298"/>
      <c r="Z6" s="297" t="s">
        <v>56</v>
      </c>
      <c r="AA6" s="299" t="str">
        <f t="shared" si="3"/>
        <v/>
      </c>
      <c r="AB6" s="300"/>
      <c r="AC6" s="286"/>
      <c r="AD6" s="467"/>
      <c r="AE6" s="303">
        <v>3</v>
      </c>
      <c r="AF6" s="296"/>
      <c r="AG6" s="300"/>
    </row>
    <row r="7" spans="1:33" ht="12.75" x14ac:dyDescent="0.25">
      <c r="A7" s="286"/>
      <c r="B7" s="295">
        <v>4</v>
      </c>
      <c r="C7" s="296"/>
      <c r="D7" s="297" t="s">
        <v>129</v>
      </c>
      <c r="E7" s="298"/>
      <c r="F7" s="297" t="s">
        <v>56</v>
      </c>
      <c r="G7" s="299">
        <f t="shared" si="0"/>
        <v>0</v>
      </c>
      <c r="H7" s="300"/>
      <c r="I7" s="286"/>
      <c r="J7" s="295">
        <v>4</v>
      </c>
      <c r="K7" s="296"/>
      <c r="L7" s="301" t="s">
        <v>2</v>
      </c>
      <c r="M7" s="298"/>
      <c r="N7" s="297" t="s">
        <v>56</v>
      </c>
      <c r="O7" s="299">
        <f t="shared" si="1"/>
        <v>0</v>
      </c>
      <c r="P7" s="300"/>
      <c r="Q7" s="286"/>
      <c r="R7" s="295">
        <v>4</v>
      </c>
      <c r="S7" s="296"/>
      <c r="T7" s="302" t="s">
        <v>55</v>
      </c>
      <c r="U7" s="298"/>
      <c r="V7" s="297" t="s">
        <v>56</v>
      </c>
      <c r="W7" s="299" t="str">
        <f t="shared" si="2"/>
        <v/>
      </c>
      <c r="X7" s="302" t="s">
        <v>55</v>
      </c>
      <c r="Y7" s="298"/>
      <c r="Z7" s="297" t="s">
        <v>56</v>
      </c>
      <c r="AA7" s="299" t="str">
        <f t="shared" si="3"/>
        <v/>
      </c>
      <c r="AB7" s="300"/>
      <c r="AC7" s="286"/>
      <c r="AD7" s="467"/>
      <c r="AE7" s="303">
        <v>4</v>
      </c>
      <c r="AF7" s="296"/>
      <c r="AG7" s="300"/>
    </row>
    <row r="8" spans="1:33" ht="12.75" x14ac:dyDescent="0.25">
      <c r="A8" s="286"/>
      <c r="B8" s="295">
        <v>5</v>
      </c>
      <c r="C8" s="296"/>
      <c r="D8" s="297" t="s">
        <v>129</v>
      </c>
      <c r="E8" s="298"/>
      <c r="F8" s="297" t="s">
        <v>56</v>
      </c>
      <c r="G8" s="299">
        <f t="shared" si="0"/>
        <v>0</v>
      </c>
      <c r="H8" s="300"/>
      <c r="I8" s="286"/>
      <c r="J8" s="295">
        <v>5</v>
      </c>
      <c r="K8" s="296"/>
      <c r="L8" s="301" t="s">
        <v>2</v>
      </c>
      <c r="M8" s="298"/>
      <c r="N8" s="297" t="s">
        <v>56</v>
      </c>
      <c r="O8" s="299">
        <f t="shared" si="1"/>
        <v>0</v>
      </c>
      <c r="P8" s="300"/>
      <c r="Q8" s="286"/>
      <c r="R8" s="295">
        <v>5</v>
      </c>
      <c r="S8" s="296"/>
      <c r="T8" s="302" t="s">
        <v>55</v>
      </c>
      <c r="U8" s="298"/>
      <c r="V8" s="297" t="s">
        <v>56</v>
      </c>
      <c r="W8" s="299" t="str">
        <f t="shared" si="2"/>
        <v/>
      </c>
      <c r="X8" s="302" t="s">
        <v>55</v>
      </c>
      <c r="Y8" s="298"/>
      <c r="Z8" s="297" t="s">
        <v>56</v>
      </c>
      <c r="AA8" s="299" t="str">
        <f t="shared" si="3"/>
        <v/>
      </c>
      <c r="AB8" s="300"/>
      <c r="AC8" s="286"/>
      <c r="AD8" s="467"/>
      <c r="AE8" s="303">
        <v>5</v>
      </c>
      <c r="AF8" s="296"/>
      <c r="AG8" s="300"/>
    </row>
    <row r="9" spans="1:33" ht="12.75" x14ac:dyDescent="0.25">
      <c r="A9" s="286"/>
      <c r="B9" s="295">
        <v>6</v>
      </c>
      <c r="C9" s="296"/>
      <c r="D9" s="297" t="s">
        <v>129</v>
      </c>
      <c r="E9" s="298"/>
      <c r="F9" s="297" t="s">
        <v>56</v>
      </c>
      <c r="G9" s="299">
        <f t="shared" si="0"/>
        <v>0</v>
      </c>
      <c r="H9" s="300"/>
      <c r="I9" s="286"/>
      <c r="J9" s="295">
        <v>6</v>
      </c>
      <c r="K9" s="296"/>
      <c r="L9" s="301" t="s">
        <v>2</v>
      </c>
      <c r="M9" s="298"/>
      <c r="N9" s="297" t="s">
        <v>56</v>
      </c>
      <c r="O9" s="299">
        <f t="shared" si="1"/>
        <v>0</v>
      </c>
      <c r="P9" s="300"/>
      <c r="Q9" s="286"/>
      <c r="R9" s="295">
        <v>6</v>
      </c>
      <c r="S9" s="296"/>
      <c r="T9" s="302" t="s">
        <v>55</v>
      </c>
      <c r="U9" s="298"/>
      <c r="V9" s="297" t="s">
        <v>56</v>
      </c>
      <c r="W9" s="299" t="str">
        <f t="shared" si="2"/>
        <v/>
      </c>
      <c r="X9" s="302" t="s">
        <v>55</v>
      </c>
      <c r="Y9" s="298"/>
      <c r="Z9" s="297" t="s">
        <v>56</v>
      </c>
      <c r="AA9" s="299" t="str">
        <f t="shared" si="3"/>
        <v/>
      </c>
      <c r="AB9" s="300"/>
      <c r="AC9" s="286"/>
      <c r="AD9" s="467"/>
      <c r="AE9" s="303">
        <v>6</v>
      </c>
      <c r="AF9" s="296"/>
      <c r="AG9" s="300"/>
    </row>
    <row r="10" spans="1:33" ht="12.75" x14ac:dyDescent="0.25">
      <c r="A10" s="286"/>
      <c r="B10" s="295">
        <v>7</v>
      </c>
      <c r="C10" s="296"/>
      <c r="D10" s="297" t="s">
        <v>129</v>
      </c>
      <c r="E10" s="298"/>
      <c r="F10" s="297" t="s">
        <v>56</v>
      </c>
      <c r="G10" s="299">
        <f t="shared" si="0"/>
        <v>0</v>
      </c>
      <c r="H10" s="300"/>
      <c r="I10" s="286"/>
      <c r="J10" s="295">
        <v>7</v>
      </c>
      <c r="K10" s="296"/>
      <c r="L10" s="301" t="s">
        <v>2</v>
      </c>
      <c r="M10" s="298"/>
      <c r="N10" s="297" t="s">
        <v>56</v>
      </c>
      <c r="O10" s="299">
        <f t="shared" si="1"/>
        <v>0</v>
      </c>
      <c r="P10" s="300"/>
      <c r="Q10" s="286"/>
      <c r="R10" s="295">
        <v>7</v>
      </c>
      <c r="S10" s="296"/>
      <c r="T10" s="302" t="s">
        <v>55</v>
      </c>
      <c r="U10" s="298"/>
      <c r="V10" s="297" t="s">
        <v>56</v>
      </c>
      <c r="W10" s="299" t="str">
        <f t="shared" si="2"/>
        <v/>
      </c>
      <c r="X10" s="302" t="s">
        <v>55</v>
      </c>
      <c r="Y10" s="298"/>
      <c r="Z10" s="297" t="s">
        <v>56</v>
      </c>
      <c r="AA10" s="299" t="str">
        <f t="shared" si="3"/>
        <v/>
      </c>
      <c r="AB10" s="300"/>
      <c r="AC10" s="286"/>
      <c r="AD10" s="467"/>
      <c r="AE10" s="303">
        <v>7</v>
      </c>
      <c r="AF10" s="296"/>
      <c r="AG10" s="300"/>
    </row>
    <row r="11" spans="1:33" ht="12.75" x14ac:dyDescent="0.25">
      <c r="A11" s="286"/>
      <c r="B11" s="295">
        <v>8</v>
      </c>
      <c r="C11" s="296"/>
      <c r="D11" s="297" t="s">
        <v>129</v>
      </c>
      <c r="E11" s="298"/>
      <c r="F11" s="297" t="s">
        <v>56</v>
      </c>
      <c r="G11" s="299">
        <f t="shared" si="0"/>
        <v>0</v>
      </c>
      <c r="H11" s="300"/>
      <c r="I11" s="286"/>
      <c r="J11" s="295">
        <v>8</v>
      </c>
      <c r="K11" s="296"/>
      <c r="L11" s="301" t="s">
        <v>2</v>
      </c>
      <c r="M11" s="298"/>
      <c r="N11" s="297" t="s">
        <v>56</v>
      </c>
      <c r="O11" s="299">
        <f t="shared" si="1"/>
        <v>0</v>
      </c>
      <c r="P11" s="300"/>
      <c r="Q11" s="286"/>
      <c r="R11" s="295">
        <v>8</v>
      </c>
      <c r="S11" s="296"/>
      <c r="T11" s="302" t="s">
        <v>55</v>
      </c>
      <c r="U11" s="298"/>
      <c r="V11" s="297" t="s">
        <v>56</v>
      </c>
      <c r="W11" s="299" t="str">
        <f t="shared" si="2"/>
        <v/>
      </c>
      <c r="X11" s="302" t="s">
        <v>55</v>
      </c>
      <c r="Y11" s="298"/>
      <c r="Z11" s="297" t="s">
        <v>56</v>
      </c>
      <c r="AA11" s="299" t="str">
        <f t="shared" si="3"/>
        <v/>
      </c>
      <c r="AB11" s="300"/>
      <c r="AC11" s="286"/>
      <c r="AD11" s="467"/>
      <c r="AE11" s="303">
        <v>8</v>
      </c>
      <c r="AF11" s="296"/>
      <c r="AG11" s="300"/>
    </row>
    <row r="12" spans="1:33" s="311" customFormat="1" ht="7.15" customHeight="1" thickBot="1" x14ac:dyDescent="0.25">
      <c r="A12" s="304"/>
      <c r="B12" s="305"/>
      <c r="C12" s="304"/>
      <c r="D12" s="304"/>
      <c r="E12" s="304"/>
      <c r="F12" s="304"/>
      <c r="G12" s="304"/>
      <c r="H12" s="306"/>
      <c r="I12" s="304"/>
      <c r="J12" s="307"/>
      <c r="K12" s="308"/>
      <c r="L12" s="308"/>
      <c r="M12" s="308"/>
      <c r="N12" s="308"/>
      <c r="O12" s="308"/>
      <c r="P12" s="309"/>
      <c r="Q12" s="304"/>
      <c r="R12" s="307"/>
      <c r="S12" s="308"/>
      <c r="T12" s="308"/>
      <c r="U12" s="308"/>
      <c r="V12" s="308"/>
      <c r="W12" s="308"/>
      <c r="X12" s="308"/>
      <c r="Y12" s="308"/>
      <c r="Z12" s="308"/>
      <c r="AA12" s="308"/>
      <c r="AB12" s="309"/>
      <c r="AC12" s="304"/>
      <c r="AD12" s="305"/>
      <c r="AE12" s="310"/>
      <c r="AF12" s="304"/>
      <c r="AG12" s="306"/>
    </row>
    <row r="13" spans="1:33" ht="15.75" thickTop="1" thickBot="1" x14ac:dyDescent="0.25">
      <c r="A13" s="286"/>
      <c r="B13" s="312"/>
      <c r="C13" s="313"/>
      <c r="D13" s="313"/>
      <c r="E13" s="468" t="s">
        <v>1</v>
      </c>
      <c r="F13" s="468"/>
      <c r="G13" s="314">
        <f>SUM(G4:G11)</f>
        <v>4960</v>
      </c>
      <c r="H13" s="315"/>
      <c r="I13" s="286"/>
      <c r="Q13" s="286"/>
      <c r="AC13" s="286"/>
      <c r="AD13" s="316"/>
      <c r="AE13" s="310"/>
      <c r="AF13" s="302" t="s">
        <v>1</v>
      </c>
      <c r="AG13" s="300"/>
    </row>
    <row r="14" spans="1:33" ht="15" thickTop="1" x14ac:dyDescent="0.2">
      <c r="AB14" s="286"/>
      <c r="AC14" s="286"/>
      <c r="AD14" s="316"/>
      <c r="AE14" s="310"/>
      <c r="AF14" s="317">
        <f>ROUNDDOWN(SUM(AF4:AF11),0)</f>
        <v>5000</v>
      </c>
      <c r="AG14" s="300"/>
    </row>
    <row r="15" spans="1:33" s="318" customFormat="1" ht="7.15" customHeight="1" thickBot="1" x14ac:dyDescent="0.25">
      <c r="AD15" s="319"/>
      <c r="AE15" s="320"/>
      <c r="AF15" s="320"/>
      <c r="AG15" s="321"/>
    </row>
    <row r="16" spans="1:33" ht="15.75" thickTop="1" thickBot="1" x14ac:dyDescent="0.25">
      <c r="B16" s="469" t="s">
        <v>8</v>
      </c>
      <c r="C16" s="470"/>
      <c r="D16" s="470"/>
      <c r="E16" s="470"/>
      <c r="F16" s="470"/>
      <c r="G16" s="470"/>
      <c r="H16" s="470"/>
      <c r="I16" s="470"/>
      <c r="J16" s="471"/>
      <c r="S16" s="472" t="s">
        <v>11</v>
      </c>
      <c r="T16" s="473"/>
      <c r="U16" s="473"/>
      <c r="V16" s="473"/>
      <c r="W16" s="473"/>
      <c r="X16" s="473"/>
      <c r="Y16" s="473"/>
      <c r="Z16" s="473"/>
      <c r="AA16" s="474"/>
    </row>
    <row r="17" spans="2:34" ht="15" thickBot="1" x14ac:dyDescent="0.25">
      <c r="B17" s="475" t="s">
        <v>115</v>
      </c>
      <c r="C17" s="476"/>
      <c r="D17" s="476"/>
      <c r="E17" s="476"/>
      <c r="F17" s="476"/>
      <c r="G17" s="476"/>
      <c r="H17" s="476"/>
      <c r="I17" s="476"/>
      <c r="J17" s="477"/>
      <c r="S17" s="478"/>
      <c r="T17" s="479"/>
      <c r="U17" s="479"/>
      <c r="V17" s="479"/>
      <c r="W17" s="479"/>
      <c r="X17" s="479"/>
      <c r="Y17" s="479"/>
      <c r="Z17" s="479"/>
      <c r="AA17" s="480"/>
    </row>
    <row r="18" spans="2:34" ht="15" thickBot="1" x14ac:dyDescent="0.25">
      <c r="B18" s="481" t="s">
        <v>115</v>
      </c>
      <c r="C18" s="482"/>
      <c r="D18" s="482"/>
      <c r="E18" s="482"/>
      <c r="F18" s="482"/>
      <c r="G18" s="482"/>
      <c r="H18" s="482"/>
      <c r="I18" s="482"/>
      <c r="J18" s="483"/>
      <c r="S18" s="478"/>
      <c r="T18" s="479"/>
      <c r="U18" s="479"/>
      <c r="V18" s="479"/>
      <c r="W18" s="479"/>
      <c r="X18" s="479"/>
      <c r="Y18" s="479"/>
      <c r="Z18" s="479"/>
      <c r="AA18" s="480"/>
    </row>
    <row r="19" spans="2:34" ht="15" thickBot="1" x14ac:dyDescent="0.25">
      <c r="B19" s="484" t="s">
        <v>131</v>
      </c>
      <c r="C19" s="485"/>
      <c r="D19" s="485"/>
      <c r="E19" s="485"/>
      <c r="F19" s="485"/>
      <c r="G19" s="485"/>
      <c r="H19" s="485"/>
      <c r="I19" s="485"/>
      <c r="J19" s="486"/>
      <c r="S19" s="478"/>
      <c r="T19" s="479"/>
      <c r="U19" s="479"/>
      <c r="V19" s="479"/>
      <c r="W19" s="479"/>
      <c r="X19" s="479"/>
      <c r="Y19" s="479"/>
      <c r="Z19" s="479"/>
      <c r="AA19" s="480"/>
    </row>
    <row r="20" spans="2:34" ht="15" thickBot="1" x14ac:dyDescent="0.25">
      <c r="B20" s="487" t="s">
        <v>132</v>
      </c>
      <c r="C20" s="488"/>
      <c r="D20" s="488"/>
      <c r="E20" s="488"/>
      <c r="F20" s="488"/>
      <c r="G20" s="488"/>
      <c r="H20" s="488"/>
      <c r="I20" s="488"/>
      <c r="J20" s="489"/>
      <c r="S20" s="478"/>
      <c r="T20" s="479"/>
      <c r="U20" s="479"/>
      <c r="V20" s="479"/>
      <c r="W20" s="479"/>
      <c r="X20" s="479"/>
      <c r="Y20" s="479"/>
      <c r="Z20" s="479"/>
      <c r="AA20" s="480"/>
    </row>
    <row r="21" spans="2:34" ht="15" thickBot="1" x14ac:dyDescent="0.25">
      <c r="S21" s="478"/>
      <c r="T21" s="479"/>
      <c r="U21" s="479"/>
      <c r="V21" s="479"/>
      <c r="W21" s="479"/>
      <c r="X21" s="479"/>
      <c r="Y21" s="479"/>
      <c r="Z21" s="479"/>
      <c r="AA21" s="480"/>
    </row>
    <row r="22" spans="2:34" ht="15" thickBot="1" x14ac:dyDescent="0.25">
      <c r="S22" s="478"/>
      <c r="T22" s="479"/>
      <c r="U22" s="479"/>
      <c r="V22" s="479"/>
      <c r="W22" s="479"/>
      <c r="X22" s="479"/>
      <c r="Y22" s="479"/>
      <c r="Z22" s="479"/>
      <c r="AA22" s="480"/>
    </row>
    <row r="23" spans="2:34" ht="15" thickBot="1" x14ac:dyDescent="0.25">
      <c r="S23" s="478"/>
      <c r="T23" s="479"/>
      <c r="U23" s="479"/>
      <c r="V23" s="479"/>
      <c r="W23" s="479"/>
      <c r="X23" s="479"/>
      <c r="Y23" s="479"/>
      <c r="Z23" s="479"/>
      <c r="AA23" s="480"/>
    </row>
    <row r="24" spans="2:34" ht="15" thickBot="1" x14ac:dyDescent="0.25">
      <c r="S24" s="478"/>
      <c r="T24" s="479"/>
      <c r="U24" s="479"/>
      <c r="V24" s="479"/>
      <c r="W24" s="479"/>
      <c r="X24" s="479"/>
      <c r="Y24" s="479"/>
      <c r="Z24" s="479"/>
      <c r="AA24" s="480"/>
    </row>
    <row r="25" spans="2:34" ht="15" thickBot="1" x14ac:dyDescent="0.25">
      <c r="S25" s="478"/>
      <c r="T25" s="479"/>
      <c r="U25" s="479"/>
      <c r="V25" s="479"/>
      <c r="W25" s="479"/>
      <c r="X25" s="479"/>
      <c r="Y25" s="479"/>
      <c r="Z25" s="479"/>
      <c r="AA25" s="480"/>
    </row>
    <row r="26" spans="2:34" ht="15" thickBot="1" x14ac:dyDescent="0.25">
      <c r="S26" s="478"/>
      <c r="T26" s="479"/>
      <c r="U26" s="479"/>
      <c r="V26" s="479"/>
      <c r="W26" s="479"/>
      <c r="X26" s="479"/>
      <c r="Y26" s="479"/>
      <c r="Z26" s="479"/>
      <c r="AA26" s="480"/>
    </row>
    <row r="27" spans="2:34" ht="15" thickBot="1" x14ac:dyDescent="0.25">
      <c r="S27" s="478"/>
      <c r="T27" s="479"/>
      <c r="U27" s="479"/>
      <c r="V27" s="479"/>
      <c r="W27" s="479"/>
      <c r="X27" s="479"/>
      <c r="Y27" s="479"/>
      <c r="Z27" s="479"/>
      <c r="AA27" s="480"/>
      <c r="AH27" s="464" t="s">
        <v>35</v>
      </c>
    </row>
    <row r="28" spans="2:34" ht="15" thickBot="1" x14ac:dyDescent="0.25">
      <c r="S28" s="478"/>
      <c r="T28" s="479"/>
      <c r="U28" s="479"/>
      <c r="V28" s="479"/>
      <c r="W28" s="479"/>
      <c r="X28" s="479"/>
      <c r="Y28" s="479"/>
      <c r="Z28" s="479"/>
      <c r="AA28" s="480"/>
      <c r="AH28" s="464"/>
    </row>
  </sheetData>
  <sheetProtection algorithmName="SHA-512" hashValue="rKStCkqtROulTg6NwsKFddkcJGUwUdZfgptOcINaJd6Je3cbStKkN8DSidlQCGL1rFyTnFkJ4l2bHEGUvtJy5A==" saltValue="SMb6b8HRms5JUS9njeYnNQ==" spinCount="100000" sheet="1" objects="1" scenarios="1"/>
  <mergeCells count="11">
    <mergeCell ref="AH27:AH28"/>
    <mergeCell ref="M2:V2"/>
    <mergeCell ref="AD4:AD11"/>
    <mergeCell ref="E13:F13"/>
    <mergeCell ref="B16:J16"/>
    <mergeCell ref="S16:AA16"/>
    <mergeCell ref="B17:J17"/>
    <mergeCell ref="S17:AA28"/>
    <mergeCell ref="B18:J18"/>
    <mergeCell ref="B19:J19"/>
    <mergeCell ref="B20:J20"/>
  </mergeCells>
  <hyperlinks>
    <hyperlink ref="C2" location="Меню!A1" display="&gt;&gt;&gt; МЕНЮ &lt;&lt;&lt;"/>
    <hyperlink ref="G2" location="Пояснения!A1" display="&gt;&gt;&gt; i &lt;&lt;&lt;"/>
    <hyperlink ref="AH27:AH28" location="'Тесто (изчисл.)'!A1" display="Ç"/>
  </hyperlinks>
  <printOptions horizontalCentered="1"/>
  <pageMargins left="0" right="0" top="0" bottom="0" header="0" footer="0"/>
  <pageSetup paperSize="9" scale="89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 tint="-0.499984740745262"/>
    <pageSetUpPr fitToPage="1"/>
  </sheetPr>
  <dimension ref="A1:A24"/>
  <sheetViews>
    <sheetView showRowColHeaders="0" zoomScaleNormal="100" workbookViewId="0">
      <selection sqref="A1:A2"/>
    </sheetView>
  </sheetViews>
  <sheetFormatPr defaultColWidth="9.140625" defaultRowHeight="14.25" x14ac:dyDescent="0.25"/>
  <cols>
    <col min="1" max="1" width="6.5703125" style="207" customWidth="1"/>
    <col min="2" max="16384" width="9.140625" style="120"/>
  </cols>
  <sheetData>
    <row r="1" spans="1:1" x14ac:dyDescent="0.25">
      <c r="A1" s="490" t="s">
        <v>58</v>
      </c>
    </row>
    <row r="2" spans="1:1" x14ac:dyDescent="0.25">
      <c r="A2" s="490"/>
    </row>
    <row r="3" spans="1:1" ht="15" customHeight="1" x14ac:dyDescent="0.25">
      <c r="A3" s="491" t="s">
        <v>59</v>
      </c>
    </row>
    <row r="4" spans="1:1" x14ac:dyDescent="0.25">
      <c r="A4" s="491"/>
    </row>
    <row r="5" spans="1:1" x14ac:dyDescent="0.25">
      <c r="A5" s="491"/>
    </row>
    <row r="6" spans="1:1" x14ac:dyDescent="0.25">
      <c r="A6" s="491"/>
    </row>
    <row r="7" spans="1:1" x14ac:dyDescent="0.25">
      <c r="A7" s="491"/>
    </row>
    <row r="8" spans="1:1" x14ac:dyDescent="0.25">
      <c r="A8" s="491"/>
    </row>
    <row r="9" spans="1:1" x14ac:dyDescent="0.25">
      <c r="A9" s="491"/>
    </row>
    <row r="10" spans="1:1" x14ac:dyDescent="0.25">
      <c r="A10" s="491"/>
    </row>
    <row r="11" spans="1:1" x14ac:dyDescent="0.25">
      <c r="A11" s="491"/>
    </row>
    <row r="12" spans="1:1" x14ac:dyDescent="0.25">
      <c r="A12" s="491"/>
    </row>
    <row r="13" spans="1:1" x14ac:dyDescent="0.25">
      <c r="A13" s="491"/>
    </row>
    <row r="14" spans="1:1" x14ac:dyDescent="0.25">
      <c r="A14" s="491"/>
    </row>
    <row r="15" spans="1:1" x14ac:dyDescent="0.25">
      <c r="A15" s="491"/>
    </row>
    <row r="16" spans="1:1" x14ac:dyDescent="0.25">
      <c r="A16" s="206"/>
    </row>
    <row r="17" spans="1:1" x14ac:dyDescent="0.25">
      <c r="A17" s="206"/>
    </row>
    <row r="18" spans="1:1" x14ac:dyDescent="0.25">
      <c r="A18" s="206"/>
    </row>
    <row r="19" spans="1:1" x14ac:dyDescent="0.25">
      <c r="A19" s="206"/>
    </row>
    <row r="20" spans="1:1" x14ac:dyDescent="0.25">
      <c r="A20" s="206"/>
    </row>
    <row r="21" spans="1:1" x14ac:dyDescent="0.25">
      <c r="A21" s="206"/>
    </row>
    <row r="22" spans="1:1" x14ac:dyDescent="0.25">
      <c r="A22" s="206"/>
    </row>
    <row r="23" spans="1:1" x14ac:dyDescent="0.25">
      <c r="A23" s="206"/>
    </row>
    <row r="24" spans="1:1" x14ac:dyDescent="0.25">
      <c r="A24" s="206"/>
    </row>
  </sheetData>
  <sheetProtection algorithmName="SHA-512" hashValue="SYYPQlnV9oizjNMXQwLTHw4j6SLuGKD71gL2Q3ctZ2KpQg3IeA9khW9apuCK3pOqePVem1UuYVDrwz6oYQGSfw==" saltValue="VgtVyuAu04AEf0bg/64wVw==" spinCount="100000" sheet="1" objects="1" scenarios="1"/>
  <mergeCells count="2">
    <mergeCell ref="A1:A2"/>
    <mergeCell ref="A3:A15"/>
  </mergeCells>
  <hyperlinks>
    <hyperlink ref="A1:A2" location="Меню!A1" display="М"/>
  </hyperlinks>
  <printOptions horizontalCentered="1"/>
  <pageMargins left="0" right="0" top="0" bottom="0" header="0" footer="0"/>
  <pageSetup paperSize="9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За 1 доза, (g) |I.2|</vt:lpstr>
      <vt:lpstr>Произволно количество,(g)|II.2|</vt:lpstr>
      <vt:lpstr>Ръчно въвеждане, (%)</vt:lpstr>
      <vt:lpstr>Себестойност</vt:lpstr>
      <vt:lpstr>Пояснения</vt:lpstr>
      <vt:lpstr>Инфо 1.2</vt:lpstr>
      <vt:lpstr>Инфо 2.2</vt:lpstr>
      <vt:lpstr>Меню</vt:lpstr>
      <vt:lpstr>Съставки (анализ)</vt:lpstr>
      <vt:lpstr>Тесто (изчисл.)</vt:lpstr>
      <vt:lpstr>Записки +</vt:lpstr>
      <vt:lpstr>'За 1 доза, (g) |I.2|'!Print_Area</vt:lpstr>
      <vt:lpstr>'Записки +'!Print_Area</vt:lpstr>
      <vt:lpstr>'Инфо 1.2'!Print_Area</vt:lpstr>
      <vt:lpstr>'Инфо 2.2'!Print_Area</vt:lpstr>
      <vt:lpstr>'Произволно количество,(g)|II.2|'!Print_Area</vt:lpstr>
      <vt:lpstr>'Ръчно въвеждане, (%)'!Print_Area</vt:lpstr>
      <vt:lpstr>Себестойност!Print_Area</vt:lpstr>
      <vt:lpstr>'Съставки (анализ)'!Print_Area</vt:lpstr>
    </vt:vector>
  </TitlesOfParts>
  <Company>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</dc:creator>
  <cp:keywords>recipe; form; template; desktop</cp:keywords>
  <dc:description>https:/nstratiev.github.io/bread</dc:description>
  <cp:lastModifiedBy>NS</cp:lastModifiedBy>
  <cp:lastPrinted>2024-10-05T10:19:33Z</cp:lastPrinted>
  <dcterms:created xsi:type="dcterms:W3CDTF">2018-08-12T09:40:38Z</dcterms:created>
  <dcterms:modified xsi:type="dcterms:W3CDTF">2025-04-15T07:51:49Z</dcterms:modified>
  <cp:contentStatus/>
  <cp:version>form-0.5.4-desktop</cp:version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electUnlockedCells_1" visible="true" label="Select Unlocked Cells" imageMso="AppointmentColor2" onAction="SelectUnlockedCells"/>
      </mso:documentControls>
    </mso:qat>
  </mso:ribbon>
</mso:customUI>
</file>